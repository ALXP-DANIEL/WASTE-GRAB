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c2efd8e561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7a8d8eeaceb48d4"/>
    <x:sheet xmlns:r="http://schemas.openxmlformats.org/officeDocument/2006/relationships" name="Feature Tracker" sheetId="2" r:id="Raab098173d4c4da4"/>
    <x:sheet xmlns:r="http://schemas.openxmlformats.org/officeDocument/2006/relationships" name="Bug Tracker" sheetId="3" r:id="R1ead98da03c14d81"/>
    <x:sheet xmlns:r="http://schemas.openxmlformats.org/officeDocument/2006/relationships" name="Test Cases" sheetId="4" r:id="R32e009ac63054a20"/>
    <x:sheet xmlns:r="http://schemas.openxmlformats.org/officeDocument/2006/relationships" name="Lists" sheetId="5" r:id="R2dd13f5e3e4247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374151"/>
      </x:patternFill>
    </x:fill>
    <x:fill>
      <x:patternFill patternType="solid">
        <x:fgColor rgb="7F1D1D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color rgb="166534"/>
      </x:font>
      <x:fill>
        <x:patternFill>
          <x:bgColor rgb="DCFCE7"/>
        </x:patternFill>
      </x:fill>
    </x:dxf>
    <x:dxf>
      <x:font>
        <x:color rgb="166534"/>
      </x:font>
      <x:fill>
        <x:patternFill>
          <x:bgColor rgb="DCFCE7"/>
        </x:patternFill>
      </x:fill>
    </x:dxf>
    <x:dxf>
      <x:font>
        <x:color rgb="166534"/>
      </x:font>
      <x:fill>
        <x:patternFill>
          <x:bgColor rgb="DCFCE7"/>
        </x:patternFill>
      </x:fill>
    </x:dxf>
    <x:dxf>
      <x:font>
        <x:color rgb="991B1B"/>
      </x:font>
      <x:fill>
        <x:patternFill>
          <x:bgColor rgb="FEE2E2"/>
        </x:patternFill>
      </x:fill>
    </x:dxf>
    <x:dxf>
      <x:font>
        <x:color rgb="92400E"/>
      </x:font>
      <x:fill>
        <x:patternFill>
          <x:bgColor rgb="FEF3C7"/>
        </x:patternFill>
      </x:fill>
    </x:dxf>
    <x:dxf>
      <x:font>
        <x:color rgb="1E40AF"/>
      </x:font>
      <x:fill>
        <x:patternFill>
          <x:bgColor rgb="DBEAFE"/>
        </x:patternFill>
      </x:fill>
    </x:dxf>
    <x:dxf>
      <x:font>
        <x:color rgb="991B1B"/>
      </x:font>
      <x:fill>
        <x:patternFill>
          <x:bgColor rgb="FEE2E2"/>
        </x:patternFill>
      </x:fill>
    </x:dxf>
    <x:dxf>
      <x:font>
        <x:color rgb="1E40AF"/>
      </x:font>
      <x:fill>
        <x:patternFill>
          <x:bgColor rgb="DBEAFE"/>
        </x:patternFill>
      </x:fill>
    </x:dxf>
    <x:dxf>
      <x:font>
        <x:color rgb="166534"/>
      </x:font>
      <x:fill>
        <x:patternFill>
          <x:bgColor rgb="DCFCE7"/>
        </x:patternFill>
      </x:fill>
    </x:dxf>
    <x:dxf>
      <x:font>
        <x:color rgb="166534"/>
      </x:font>
      <x:fill>
        <x:patternFill>
          <x:bgColor rgb="DCFCE7"/>
        </x:patternFill>
      </x:fill>
    </x:dxf>
    <x:dxf>
      <x:font>
        <x:color rgb="991B1B"/>
      </x:font>
      <x:fill>
        <x:patternFill>
          <x:bgColor rgb="FEE2E2"/>
        </x:patternFill>
      </x:fill>
    </x:dxf>
    <x:dxf>
      <x:font>
        <x:color rgb="92400E"/>
      </x:font>
      <x:fill>
        <x:patternFill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1a967fa4634d9b" /><Relationship Type="http://schemas.openxmlformats.org/officeDocument/2006/relationships/theme" Target="/xl/theme/theme1.xml" Id="R83c402dc9c414c23" /><Relationship Type="http://schemas.openxmlformats.org/officeDocument/2006/relationships/sharedStrings" Target="/xl/sharedStrings.xml" Id="R39ee7e2e53974148" /><Relationship Type="http://schemas.openxmlformats.org/officeDocument/2006/relationships/worksheet" Target="/xl/worksheets/sheet1.xml" Id="R97a8d8eeaceb48d4" /><Relationship Type="http://schemas.openxmlformats.org/officeDocument/2006/relationships/worksheet" Target="/xl/worksheets/sheet2.xml" Id="Raab098173d4c4da4" /><Relationship Type="http://schemas.openxmlformats.org/officeDocument/2006/relationships/worksheet" Target="/xl/worksheets/sheet3.xml" Id="R1ead98da03c14d81" /><Relationship Type="http://schemas.openxmlformats.org/officeDocument/2006/relationships/worksheet" Target="/xl/worksheets/sheet4.xml" Id="R32e009ac63054a20" /><Relationship Type="http://schemas.openxmlformats.org/officeDocument/2006/relationships/worksheet" Target="/xl/worksheets/sheet5.xml" Id="R2dd13f5e3e4247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d6906c1c56404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'Dashboard'!$A$13:$A$18</c:f>
              <c:strCache>
                <c:ptCount val="0"/>
              </c:strCache>
            </c:strRef>
          </c:cat>
          <c:val>
            <c:numRef>
              <c:f>'Dashboard'!$B$13:$B$18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11</xdr:row>
      <xdr:rowOff>0</xdr:rowOff>
    </xdr:from>
    <xdr:to>
      <xdr:col>8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d6906c1c56404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eatureTrackerTable" displayName="FeatureTrackerTable" ref="A1:N200" headerRowCount="1">
  <x:tableColumns count="14">
    <x:tableColumn id="1" name="Feature ID"/>
    <x:tableColumn id="2" name="Module"/>
    <x:tableColumn id="3" name="Role"/>
    <x:tableColumn id="4" name="Feature / Area"/>
    <x:tableColumn id="5" name="Expected Result"/>
    <x:tableColumn id="6" name="Route / API / Path"/>
    <x:tableColumn id="7" name="Status"/>
    <x:tableColumn id="8" name="Check"/>
    <x:tableColumn id="9" name="Priority"/>
    <x:tableColumn id="10" name="Owner"/>
    <x:tableColumn id="11" name="Last Tested"/>
    <x:tableColumn id="12" name="Bug ID"/>
    <x:tableColumn id="13" name="Comments / Notes"/>
    <x:tableColumn id="14" name="Evidence Link"/>
  </x:tableColumns>
  <x:tableStyleInfo name="TableStyleMedium2" showRowStripes="1"/>
</x:table>
</file>

<file path=xl/tables/table2.xml><?xml version="1.0" encoding="utf-8"?>
<x:table xmlns:x="http://schemas.openxmlformats.org/spreadsheetml/2006/main" id="2" name="BugTrackerTable" displayName="BugTrackerTable" ref="A1:N200" headerRowCount="1">
  <x:tableColumns count="14">
    <x:tableColumn id="1" name="Bug ID"/>
    <x:tableColumn id="2" name="Feature ID"/>
    <x:tableColumn id="3" name="Module"/>
    <x:tableColumn id="4" name="Severity"/>
    <x:tableColumn id="5" name="Status"/>
    <x:tableColumn id="6" name="Title / Description"/>
    <x:tableColumn id="7" name="Steps To Reproduce"/>
    <x:tableColumn id="8" name="Expected"/>
    <x:tableColumn id="9" name="Actual"/>
    <x:tableColumn id="10" name="Owner"/>
    <x:tableColumn id="11" name="Date Found"/>
    <x:tableColumn id="12" name="Fixed In"/>
    <x:tableColumn id="13" name="Retest Result"/>
    <x:tableColumn id="14" name="Comments"/>
  </x:tableColumns>
  <x:tableStyleInfo name="TableStyleMedium2" showRowStripes="1"/>
</x:table>
</file>

<file path=xl/tables/table3.xml><?xml version="1.0" encoding="utf-8"?>
<x:table xmlns:x="http://schemas.openxmlformats.org/spreadsheetml/2006/main" id="3" name="TestCasesTable" displayName="TestCasesTable" ref="A1:L200" headerRowCount="1">
  <x:tableColumns count="12">
    <x:tableColumn id="1" name="Test ID"/>
    <x:tableColumn id="2" name="Feature ID"/>
    <x:tableColumn id="3" name="Module"/>
    <x:tableColumn id="4" name="Role"/>
    <x:tableColumn id="5" name="Scenario"/>
    <x:tableColumn id="6" name="Preconditions"/>
    <x:tableColumn id="7" name="Test Steps"/>
    <x:tableColumn id="8" name="Expected Result"/>
    <x:tableColumn id="9" name="Actual Result"/>
    <x:tableColumn id="10" name="Result"/>
    <x:tableColumn id="11" name="Bug ID"/>
    <x:tableColumn id="12" name="Commen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301b23c394a4d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3d15c451b64b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2a90914b714f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78a3463196468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54" t="str">
        <x:v>WasteGrab Feature QA Tracker</x:v>
      </x:c>
      <x:c r="B1" s="22"/>
      <x:c r="C1" s="22"/>
      <x:c r="D1" s="22"/>
      <x:c r="E1" s="22"/>
      <x:c r="F1" s="22"/>
      <x:c r="G1" s="22"/>
      <x:c r="H1" s="22"/>
    </x:row>
    <x:row r="2">
      <x:c r="A2" s="22"/>
      <x:c r="B2" s="22"/>
      <x:c r="C2" s="22"/>
      <x:c r="D2" s="22"/>
      <x:c r="E2" s="22"/>
      <x:c r="F2" s="22"/>
      <x:c r="G2" s="22"/>
      <x:c r="H2" s="22"/>
    </x:row>
    <x:row r="3">
      <x:c r="A3" s="24" t="str">
        <x:v>Metric</x:v>
      </x:c>
      <x:c r="B3" s="24" t="str">
        <x:v>Value</x:v>
      </x:c>
      <x:c r="C3" s="22"/>
      <x:c r="D3" s="22"/>
      <x:c r="E3" s="24" t="str">
        <x:v>How to use</x:v>
      </x:c>
      <x:c r="F3" s="22" t="str"/>
      <x:c r="G3" s="22" t="str"/>
      <x:c r="H3" s="22" t="str"/>
    </x:row>
    <x:row r="4">
      <x:c r="A4" s="22" t="str">
        <x:v>Total Features</x:v>
      </x:c>
      <x:c r="B4" s="22" t="n">
        <x:f>COUNTA('Feature Tracker'!A2:A200)</x:f>
        <x:v>74</x:v>
      </x:c>
      <x:c r="C4" s="22"/>
      <x:c r="D4" s="22"/>
      <x:c r="E4" s="22" t="str">
        <x:v>1</x:v>
      </x:c>
      <x:c r="F4" s="22" t="str">
        <x:v>Test each row in Feature Tracker. Set Status and Check.</x:v>
      </x:c>
      <x:c r="G4" s="22" t="str"/>
      <x:c r="H4" s="22" t="str"/>
    </x:row>
    <x:row r="5">
      <x:c r="A5" s="22" t="str">
        <x:v>Passed</x:v>
      </x:c>
      <x:c r="B5" s="22" t="n">
        <x:f>COUNTIF('Feature Tracker'!G2:G200,"Passed")</x:f>
        <x:v>0</x:v>
      </x:c>
      <x:c r="C5" s="22"/>
      <x:c r="D5" s="22"/>
      <x:c r="E5" s="22" t="str">
        <x:v>2</x:v>
      </x:c>
      <x:c r="F5" s="22" t="str">
        <x:v>When something breaks, create a Bug ID in Bug Tracker.</x:v>
      </x:c>
      <x:c r="G5" s="22" t="str"/>
      <x:c r="H5" s="22" t="str"/>
    </x:row>
    <x:row r="6">
      <x:c r="A6" s="22" t="str">
        <x:v>Failed</x:v>
      </x:c>
      <x:c r="B6" s="22" t="n">
        <x:f>COUNTIF('Feature Tracker'!G2:G200,"Failed")</x:f>
        <x:v>0</x:v>
      </x:c>
      <x:c r="C6" s="22"/>
      <x:c r="D6" s="22"/>
      <x:c r="E6" s="22" t="str">
        <x:v>3</x:v>
      </x:c>
      <x:c r="F6" s="22" t="str">
        <x:v>Put that Bug ID back in Feature Tracker and Test Cases.</x:v>
      </x:c>
      <x:c r="G6" s="22" t="str"/>
      <x:c r="H6" s="22" t="str"/>
    </x:row>
    <x:row r="7">
      <x:c r="A7" s="22" t="str">
        <x:v>Blocked</x:v>
      </x:c>
      <x:c r="B7" s="22" t="n">
        <x:f>COUNTIF('Feature Tracker'!G2:G200,"Blocked")</x:f>
        <x:v>0</x:v>
      </x:c>
      <x:c r="C7" s="22"/>
      <x:c r="D7" s="22"/>
      <x:c r="E7" s="22" t="str">
        <x:v>4</x:v>
      </x:c>
      <x:c r="F7" s="22" t="str">
        <x:v>Use Comments for notes, edge cases, or proof needed.</x:v>
      </x:c>
      <x:c r="G7" s="22" t="str"/>
      <x:c r="H7" s="22" t="str"/>
    </x:row>
    <x:row r="8">
      <x:c r="A8" s="22" t="str">
        <x:v>Needs Review</x:v>
      </x:c>
      <x:c r="B8" s="22" t="n">
        <x:f>COUNTIF('Feature Tracker'!G2:G200,"Needs Review")</x:f>
        <x:v>1</x:v>
      </x:c>
      <x:c r="C8" s="22"/>
      <x:c r="D8" s="22"/>
      <x:c r="E8" s="22" t="str">
        <x:v>5</x:v>
      </x:c>
      <x:c r="F8" s="22" t="str">
        <x:v>Retest fixed bugs and close only after confirmed.</x:v>
      </x:c>
      <x:c r="G8" s="22" t="str"/>
      <x:c r="H8" s="22" t="str"/>
    </x:row>
    <x:row r="9">
      <x:c r="A9" s="22" t="str">
        <x:v>Open Bugs</x:v>
      </x:c>
      <x:c r="B9" s="22" t="n">
        <x:f>COUNTIFS('Bug Tracker'!E2:E200,"Open",'Bug Tracker'!F2:F200,"&lt;&gt;")</x:f>
        <x:v>0</x:v>
      </x:c>
      <x:c r="C9" s="22"/>
      <x:c r="D9" s="22"/>
      <x:c r="E9" s="22" t="str">
        <x:v>Source</x:v>
      </x:c>
      <x:c r="F9" s="22" t="str">
        <x:v>User-provided WasteGrab project summary</x:v>
      </x:c>
      <x:c r="G9" s="22" t="str"/>
      <x:c r="H9" s="22" t="str"/>
    </x:row>
    <x:row r="10">
      <x:c r="A10" s="22" t="str">
        <x:v>Pass Rate</x:v>
      </x:c>
      <x:c r="B10" s="25" t="n">
        <x:f>IF(B4=0,0,B5/B4)</x:f>
        <x:v>0</x:v>
      </x:c>
      <x:c r="C10" s="22"/>
      <x:c r="D10" s="22"/>
      <x:c r="E10" s="22" t="str">
        <x:v>Generated</x:v>
      </x:c>
      <x:c r="F10" s="22" t="str">
        <x:v>2026-06-02</x:v>
      </x:c>
      <x:c r="G10" s="22" t="str"/>
      <x:c r="H10" s="22" t="str"/>
    </x:row>
    <x:row r="11">
      <x:c r="A11" s="22"/>
      <x:c r="B11" s="22"/>
      <x:c r="C11" s="22"/>
      <x:c r="D11" s="22"/>
      <x:c r="E11" s="22"/>
      <x:c r="F11" s="22"/>
      <x:c r="G11" s="22"/>
      <x:c r="H11" s="22"/>
    </x:row>
    <x:row r="12">
      <x:c r="A12" s="24" t="str">
        <x:v>Feature Status</x:v>
      </x:c>
      <x:c r="B12" s="24" t="str">
        <x:v>Count</x:v>
      </x:c>
      <x:c r="C12" s="24" t="str">
        <x:v>Percent</x:v>
      </x:c>
      <x:c r="D12" s="22"/>
      <x:c r="E12" s="22"/>
      <x:c r="F12" s="22"/>
      <x:c r="G12" s="22"/>
      <x:c r="H12" s="22"/>
    </x:row>
    <x:row r="13">
      <x:c r="A13" s="22" t="str">
        <x:v>Not Tested</x:v>
      </x:c>
      <x:c r="B13" s="22" t="n">
        <x:f>COUNTIF('Feature Tracker'!G2:G200,A13)</x:f>
        <x:v>73</x:v>
      </x:c>
      <x:c r="C13" s="25" t="n">
        <x:f>IF($B$4=0,0,B13/$B$4)</x:f>
        <x:v>0.9864864864864865</x:v>
      </x:c>
      <x:c r="D13" s="22"/>
      <x:c r="E13" s="22"/>
      <x:c r="F13" s="22"/>
      <x:c r="G13" s="22"/>
      <x:c r="H13" s="22"/>
    </x:row>
    <x:row r="14">
      <x:c r="A14" s="22" t="str">
        <x:v>In Progress</x:v>
      </x:c>
      <x:c r="B14" s="22" t="n">
        <x:f>COUNTIF('Feature Tracker'!G2:G200,A14)</x:f>
        <x:v>0</x:v>
      </x:c>
      <x:c r="C14" s="25" t="n">
        <x:f>IF($B$4=0,0,B14/$B$4)</x:f>
        <x:v>0</x:v>
      </x:c>
      <x:c r="D14" s="22"/>
      <x:c r="E14" s="22"/>
      <x:c r="F14" s="22"/>
      <x:c r="G14" s="22"/>
      <x:c r="H14" s="22"/>
    </x:row>
    <x:row r="15">
      <x:c r="A15" s="22" t="str">
        <x:v>Passed</x:v>
      </x:c>
      <x:c r="B15" s="22" t="n">
        <x:f>COUNTIF('Feature Tracker'!G2:G200,A15)</x:f>
        <x:v>0</x:v>
      </x:c>
      <x:c r="C15" s="25" t="n">
        <x:f>IF($B$4=0,0,B15/$B$4)</x:f>
        <x:v>0</x:v>
      </x:c>
      <x:c r="D15" s="22"/>
      <x:c r="E15" s="22"/>
      <x:c r="F15" s="22"/>
      <x:c r="G15" s="22"/>
      <x:c r="H15" s="22"/>
    </x:row>
    <x:row r="16">
      <x:c r="A16" s="22" t="str">
        <x:v>Failed</x:v>
      </x:c>
      <x:c r="B16" s="22" t="n">
        <x:f>COUNTIF('Feature Tracker'!G2:G200,A16)</x:f>
        <x:v>0</x:v>
      </x:c>
      <x:c r="C16" s="25" t="n">
        <x:f>IF($B$4=0,0,B16/$B$4)</x:f>
        <x:v>0</x:v>
      </x:c>
      <x:c r="D16" s="22"/>
      <x:c r="E16" s="22"/>
      <x:c r="F16" s="22"/>
      <x:c r="G16" s="22"/>
      <x:c r="H16" s="22"/>
    </x:row>
    <x:row r="17">
      <x:c r="A17" s="22" t="str">
        <x:v>Blocked</x:v>
      </x:c>
      <x:c r="B17" s="22" t="n">
        <x:f>COUNTIF('Feature Tracker'!G2:G200,A17)</x:f>
        <x:v>0</x:v>
      </x:c>
      <x:c r="C17" s="25" t="n">
        <x:f>IF($B$4=0,0,B17/$B$4)</x:f>
        <x:v>0</x:v>
      </x:c>
      <x:c r="D17" s="22"/>
      <x:c r="E17" s="22"/>
      <x:c r="F17" s="22"/>
      <x:c r="G17" s="22"/>
      <x:c r="H17" s="22"/>
    </x:row>
    <x:row r="18">
      <x:c r="A18" s="22" t="str">
        <x:v>Needs Review</x:v>
      </x:c>
      <x:c r="B18" s="22" t="n">
        <x:f>COUNTIF('Feature Tracker'!G2:G200,A18)</x:f>
        <x:v>1</x:v>
      </x:c>
      <x:c r="C18" s="25" t="n">
        <x:f>IF($B$4=0,0,B18/$B$4)</x:f>
        <x:v>0.013513513513513514</x:v>
      </x:c>
      <x:c r="D18" s="22"/>
      <x:c r="E18" s="22"/>
      <x:c r="F18" s="22"/>
      <x:c r="G18" s="22"/>
      <x:c r="H18" s="22"/>
    </x:row>
    <x:row r="19">
      <x:c r="A19" s="22"/>
      <x:c r="B19" s="22"/>
      <x:c r="C19" s="22"/>
      <x:c r="D19" s="22"/>
      <x:c r="E19" s="22"/>
      <x:c r="F19" s="22"/>
      <x:c r="G19" s="22"/>
      <x:c r="H19" s="22"/>
    </x:row>
    <x:row r="20">
      <x:c r="A20" s="22"/>
      <x:c r="B20" s="22"/>
      <x:c r="C20" s="22"/>
      <x:c r="D20" s="22"/>
      <x:c r="E20" s="22"/>
      <x:c r="F20" s="22"/>
      <x:c r="G20" s="22"/>
      <x:c r="H20" s="22"/>
    </x:row>
  </x:sheetData>
  <x:mergeCells>
    <x:mergeCell ref="A1:H1"/>
    <x:mergeCell ref="E3:H3"/>
  </x:mergeCells>
  <x:pageMargins left="0.7" right="0.7" top="0.75" bottom="0.75" header="0.3" footer="0.3"/>
  <x:drawing xmlns:r="http://schemas.openxmlformats.org/officeDocument/2006/relationships" r:id="Rb301b23c394a4da6"/>
</x:worksheet>
</file>

<file path=xl/worksheets/sheet2.xml><?xml version="1.0" encoding="utf-8"?>
<x:worksheet xmlns:x="http://schemas.openxmlformats.org/spreadsheetml/2006/main">
  <x:sheetFormatPr defaultRowHeight="15"/>
  <x:cols>
    <x:col min="1" max="1" width="11.039999961853027" hidden="0" customWidth="1"/>
    <x:col min="2" max="2" width="14.9399995803833" hidden="0" customWidth="1"/>
    <x:col min="3" max="3" width="17.770000457763672" hidden="0" customWidth="1"/>
    <x:col min="4" max="4" width="30" hidden="0" customWidth="1"/>
    <x:col min="5" max="5" width="30" hidden="0" customWidth="1"/>
    <x:col min="6" max="6" width="30" hidden="0" customWidth="1"/>
    <x:col min="7" max="7" width="13.319999694824219" hidden="0" customWidth="1"/>
    <x:col min="8" max="8" width="7.539999961853027" hidden="0" customWidth="1"/>
    <x:col min="9" max="9" width="8.880000114440918" hidden="0" customWidth="1"/>
    <x:col min="10" max="10" width="8.210000038146973" hidden="0" customWidth="1"/>
    <x:col min="11" max="11" width="11.569999694824219" hidden="0" customWidth="1"/>
    <x:col min="12" max="12" width="7.940000057220459" hidden="0" customWidth="1"/>
    <x:col min="13" max="13" width="30" hidden="0" customWidth="1"/>
    <x:col min="14" max="14" width="30" hidden="0" customWidth="1"/>
  </x:cols>
  <x:sheetData>
    <x:row r="1">
      <x:c r="A1" s="30" t="str">
        <x:v>Feature ID</x:v>
      </x:c>
      <x:c r="B1" s="30" t="str">
        <x:v>Module</x:v>
      </x:c>
      <x:c r="C1" s="30" t="str">
        <x:v>Role</x:v>
      </x:c>
      <x:c r="D1" s="30" t="str">
        <x:v>Feature / Area</x:v>
      </x:c>
      <x:c r="E1" s="30" t="str">
        <x:v>Expected Result</x:v>
      </x:c>
      <x:c r="F1" s="30" t="str">
        <x:v>Route / API / Path</x:v>
      </x:c>
      <x:c r="G1" s="30" t="str">
        <x:v>Status</x:v>
      </x:c>
      <x:c r="H1" s="30" t="str">
        <x:v>Check</x:v>
      </x:c>
      <x:c r="I1" s="30" t="str">
        <x:v>Priority</x:v>
      </x:c>
      <x:c r="J1" s="30" t="str">
        <x:v>Owner</x:v>
      </x:c>
      <x:c r="K1" s="30" t="str">
        <x:v>Last Tested</x:v>
      </x:c>
      <x:c r="L1" s="30" t="str">
        <x:v>Bug ID</x:v>
      </x:c>
      <x:c r="M1" s="30" t="str">
        <x:v>Comments / Notes</x:v>
      </x:c>
      <x:c r="N1" s="30" t="str">
        <x:v>Evidence Link</x:v>
      </x:c>
    </x:row>
    <x:row r="2">
      <x:c r="A2" s="22" t="str">
        <x:v>WG-F001</x:v>
      </x:c>
      <x:c r="B2" s="22" t="str">
        <x:v>Workspace</x:v>
      </x:c>
      <x:c r="C2" s="22" t="str">
        <x:v>Developer</x:v>
      </x:c>
      <x:c r="D2" s="22" t="str">
        <x:v>Nx monorepo structure</x:v>
      </x:c>
      <x:c r="E2" s="22" t="str">
        <x:v>apps/frontend, apps/backend, libs/shared/types, apps/e2e are present and buildable</x:v>
      </x:c>
      <x:c r="F2" s="22" t="str">
        <x:v>/</x:v>
      </x:c>
      <x:c r="G2" s="22" t="str">
        <x:v>Not Tested</x:v>
      </x:c>
      <x:c r="H2" s="22" t="str">
        <x:v>☐</x:v>
      </x:c>
      <x:c r="I2" s="22" t="str">
        <x:v>High</x:v>
      </x:c>
      <x:c r="J2" s="22" t="str"/>
      <x:c r="K2" s="52" t="str"/>
      <x:c r="L2" s="22" t="str"/>
      <x:c r="M2" s="22" t="str"/>
      <x:c r="N2" s="22" t="str"/>
    </x:row>
    <x:row r="3">
      <x:c r="A3" s="22" t="str">
        <x:v>WG-F002</x:v>
      </x:c>
      <x:c r="B3" s="22" t="str">
        <x:v>Workspace</x:v>
      </x:c>
      <x:c r="C3" s="22" t="str">
        <x:v>Developer</x:v>
      </x:c>
      <x:c r="D3" s="22" t="str">
        <x:v>Shared types library</x:v>
      </x:c>
      <x:c r="E3" s="22" t="str">
        <x:v>Frontend and backend import contracts from @wastegrab/shared without type drift</x:v>
      </x:c>
      <x:c r="F3" s="22" t="str">
        <x:v>libs/shared/types</x:v>
      </x:c>
      <x:c r="G3" s="22" t="str">
        <x:v>Not Tested</x:v>
      </x:c>
      <x:c r="H3" s="22" t="str">
        <x:v>☐</x:v>
      </x:c>
      <x:c r="I3" s="22" t="str">
        <x:v>High</x:v>
      </x:c>
      <x:c r="J3" s="22" t="str"/>
      <x:c r="K3" s="52" t="str"/>
      <x:c r="L3" s="22" t="str"/>
      <x:c r="M3" s="22" t="str"/>
      <x:c r="N3" s="22" t="str"/>
    </x:row>
    <x:row r="4">
      <x:c r="A4" s="22" t="str">
        <x:v>WG-F003</x:v>
      </x:c>
      <x:c r="B4" s="22" t="str">
        <x:v>Workspace</x:v>
      </x:c>
      <x:c r="C4" s="22" t="str">
        <x:v>Developer</x:v>
      </x:c>
      <x:c r="D4" s="22" t="str">
        <x:v>No import cycles</x:v>
      </x:c>
      <x:c r="E4" s="22" t="str">
        <x:v>Codebase remains cycle-free based on graph/code checks</x:v>
      </x:c>
      <x:c r="F4" s="22" t="str">
        <x:v>graphify-out/GRAPH_REPORT.md</x:v>
      </x:c>
      <x:c r="G4" s="22" t="str">
        <x:v>Not Tested</x:v>
      </x:c>
      <x:c r="H4" s="22" t="str">
        <x:v>☐</x:v>
      </x:c>
      <x:c r="I4" s="22" t="str">
        <x:v>Medium</x:v>
      </x:c>
      <x:c r="J4" s="22" t="str"/>
      <x:c r="K4" s="52" t="str"/>
      <x:c r="L4" s="22" t="str"/>
      <x:c r="M4" s="22" t="str"/>
      <x:c r="N4" s="22" t="str"/>
    </x:row>
    <x:row r="5">
      <x:c r="A5" s="22" t="str">
        <x:v>WG-F004</x:v>
      </x:c>
      <x:c r="B5" s="22" t="str">
        <x:v>DevOps</x:v>
      </x:c>
      <x:c r="C5" s="22" t="str">
        <x:v>Developer</x:v>
      </x:c>
      <x:c r="D5" s="22" t="str">
        <x:v>Docker build</x:v>
      </x:c>
      <x:c r="E5" s="22" t="str">
        <x:v>Root Dockerfile and docker-compose can build and run required services</x:v>
      </x:c>
      <x:c r="F5" s="22" t="str">
        <x:v>Dockerfile / docker-compose.yml</x:v>
      </x:c>
      <x:c r="G5" s="22" t="str">
        <x:v>Not Tested</x:v>
      </x:c>
      <x:c r="H5" s="22" t="str">
        <x:v>☐</x:v>
      </x:c>
      <x:c r="I5" s="22" t="str">
        <x:v>High</x:v>
      </x:c>
      <x:c r="J5" s="22" t="str"/>
      <x:c r="K5" s="52" t="str"/>
      <x:c r="L5" s="22" t="str"/>
      <x:c r="M5" s="22" t="str"/>
      <x:c r="N5" s="22" t="str"/>
    </x:row>
    <x:row r="6">
      <x:c r="A6" s="22" t="str">
        <x:v>WG-F005</x:v>
      </x:c>
      <x:c r="B6" s="22" t="str">
        <x:v>Tooling</x:v>
      </x:c>
      <x:c r="C6" s="22" t="str">
        <x:v>Developer</x:v>
      </x:c>
      <x:c r="D6" s="22" t="str">
        <x:v>Vitest checks</x:v>
      </x:c>
      <x:c r="E6" s="22" t="str">
        <x:v>Unit tests run without failing critical domain/service tests</x:v>
      </x:c>
      <x:c r="F6" s="22" t="str">
        <x:v>Vitest</x:v>
      </x:c>
      <x:c r="G6" s="22" t="str">
        <x:v>Not Tested</x:v>
      </x:c>
      <x:c r="H6" s="22" t="str">
        <x:v>☐</x:v>
      </x:c>
      <x:c r="I6" s="22" t="str">
        <x:v>Medium</x:v>
      </x:c>
      <x:c r="J6" s="22" t="str"/>
      <x:c r="K6" s="52" t="str"/>
      <x:c r="L6" s="22" t="str"/>
      <x:c r="M6" s="22" t="str"/>
      <x:c r="N6" s="22" t="str"/>
    </x:row>
    <x:row r="7">
      <x:c r="A7" s="22" t="str">
        <x:v>WG-F006</x:v>
      </x:c>
      <x:c r="B7" s="22" t="str">
        <x:v>Tooling</x:v>
      </x:c>
      <x:c r="C7" s="22" t="str">
        <x:v>Developer</x:v>
      </x:c>
      <x:c r="D7" s="22" t="str">
        <x:v>Playwright/Nx e2e setup</x:v>
      </x:c>
      <x:c r="E7" s="22" t="str">
        <x:v>E2E project can launch and run smoke tests</x:v>
      </x:c>
      <x:c r="F7" s="22" t="str">
        <x:v>apps/e2e</x:v>
      </x:c>
      <x:c r="G7" s="22" t="str">
        <x:v>Not Tested</x:v>
      </x:c>
      <x:c r="H7" s="22" t="str">
        <x:v>☐</x:v>
      </x:c>
      <x:c r="I7" s="22" t="str">
        <x:v>Medium</x:v>
      </x:c>
      <x:c r="J7" s="22" t="str"/>
      <x:c r="K7" s="52" t="str"/>
      <x:c r="L7" s="22" t="str"/>
      <x:c r="M7" s="22" t="str"/>
      <x:c r="N7" s="22" t="str"/>
    </x:row>
    <x:row r="8">
      <x:c r="A8" s="22" t="str">
        <x:v>WG-F007</x:v>
      </x:c>
      <x:c r="B8" s="22" t="str">
        <x:v>Auth</x:v>
      </x:c>
      <x:c r="C8" s="22" t="str">
        <x:v>Customer</x:v>
      </x:c>
      <x:c r="D8" s="22" t="str">
        <x:v>Register user</x:v>
      </x:c>
      <x:c r="E8" s="22" t="str">
        <x:v>New customer account can be created with valid data</x:v>
      </x:c>
      <x:c r="F8" s="22" t="str">
        <x:v>/api/auth/register</x:v>
      </x:c>
      <x:c r="G8" s="22" t="str">
        <x:v>Not Tested</x:v>
      </x:c>
      <x:c r="H8" s="22" t="str">
        <x:v>☐</x:v>
      </x:c>
      <x:c r="I8" s="22" t="str">
        <x:v>Critical</x:v>
      </x:c>
      <x:c r="J8" s="22" t="str"/>
      <x:c r="K8" s="52" t="str"/>
      <x:c r="L8" s="22" t="str"/>
      <x:c r="M8" s="22" t="str"/>
      <x:c r="N8" s="22" t="str"/>
    </x:row>
    <x:row r="9">
      <x:c r="A9" s="22" t="str">
        <x:v>WG-F008</x:v>
      </x:c>
      <x:c r="B9" s="22" t="str">
        <x:v>Auth</x:v>
      </x:c>
      <x:c r="C9" s="22" t="str">
        <x:v>All</x:v>
      </x:c>
      <x:c r="D9" s="22" t="str">
        <x:v>Login user</x:v>
      </x:c>
      <x:c r="E9" s="22" t="str">
        <x:v>Valid user receives session cookie and current user data</x:v>
      </x:c>
      <x:c r="F9" s="22" t="str">
        <x:v>/api/auth/login</x:v>
      </x:c>
      <x:c r="G9" s="22" t="str">
        <x:v>Not Tested</x:v>
      </x:c>
      <x:c r="H9" s="22" t="str">
        <x:v>☐</x:v>
      </x:c>
      <x:c r="I9" s="22" t="str">
        <x:v>Critical</x:v>
      </x:c>
      <x:c r="J9" s="22" t="str"/>
      <x:c r="K9" s="52" t="str"/>
      <x:c r="L9" s="22" t="str"/>
      <x:c r="M9" s="22" t="str"/>
      <x:c r="N9" s="22" t="str"/>
    </x:row>
    <x:row r="10">
      <x:c r="A10" s="22" t="str">
        <x:v>WG-F009</x:v>
      </x:c>
      <x:c r="B10" s="22" t="str">
        <x:v>Auth</x:v>
      </x:c>
      <x:c r="C10" s="22" t="str">
        <x:v>All</x:v>
      </x:c>
      <x:c r="D10" s="22" t="str">
        <x:v>Logout user</x:v>
      </x:c>
      <x:c r="E10" s="22" t="str">
        <x:v>Auth cookie clears and protected data becomes inaccessible</x:v>
      </x:c>
      <x:c r="F10" s="22" t="str">
        <x:v>/api/auth/logout</x:v>
      </x:c>
      <x:c r="G10" s="22" t="str">
        <x:v>Not Tested</x:v>
      </x:c>
      <x:c r="H10" s="22" t="str">
        <x:v>☐</x:v>
      </x:c>
      <x:c r="I10" s="22" t="str">
        <x:v>High</x:v>
      </x:c>
      <x:c r="J10" s="22" t="str"/>
      <x:c r="K10" s="52" t="str"/>
      <x:c r="L10" s="22" t="str"/>
      <x:c r="M10" s="22" t="str"/>
      <x:c r="N10" s="22" t="str"/>
    </x:row>
    <x:row r="11">
      <x:c r="A11" s="22" t="str">
        <x:v>WG-F010</x:v>
      </x:c>
      <x:c r="B11" s="22" t="str">
        <x:v>Auth</x:v>
      </x:c>
      <x:c r="C11" s="22" t="str">
        <x:v>All</x:v>
      </x:c>
      <x:c r="D11" s="22" t="str">
        <x:v>Current user session</x:v>
      </x:c>
      <x:c r="E11" s="22" t="str">
        <x:v>Authenticated request returns correct user profile</x:v>
      </x:c>
      <x:c r="F11" s="22" t="str">
        <x:v>/api/auth/me</x:v>
      </x:c>
      <x:c r="G11" s="22" t="str">
        <x:v>Not Tested</x:v>
      </x:c>
      <x:c r="H11" s="22" t="str">
        <x:v>☐</x:v>
      </x:c>
      <x:c r="I11" s="22" t="str">
        <x:v>Critical</x:v>
      </x:c>
      <x:c r="J11" s="22" t="str"/>
      <x:c r="K11" s="52" t="str"/>
      <x:c r="L11" s="22" t="str"/>
      <x:c r="M11" s="22" t="str"/>
      <x:c r="N11" s="22" t="str"/>
    </x:row>
    <x:row r="12">
      <x:c r="A12" s="22" t="str">
        <x:v>WG-F011</x:v>
      </x:c>
      <x:c r="B12" s="22" t="str">
        <x:v>Auth</x:v>
      </x:c>
      <x:c r="C12" s="22" t="str">
        <x:v>All</x:v>
      </x:c>
      <x:c r="D12" s="22" t="str">
        <x:v>Session expiry</x:v>
      </x:c>
      <x:c r="E12" s="22" t="str">
        <x:v>Session expires after 7 days or invalid token is rejected</x:v>
      </x:c>
      <x:c r="F12" s="22" t="str">
        <x:v>wastegrab_auth</x:v>
      </x:c>
      <x:c r="G12" s="22" t="str">
        <x:v>Not Tested</x:v>
      </x:c>
      <x:c r="H12" s="22" t="str">
        <x:v>☐</x:v>
      </x:c>
      <x:c r="I12" s="22" t="str">
        <x:v>High</x:v>
      </x:c>
      <x:c r="J12" s="22" t="str"/>
      <x:c r="K12" s="52" t="str"/>
      <x:c r="L12" s="22" t="str"/>
      <x:c r="M12" s="22" t="str"/>
      <x:c r="N12" s="22" t="str"/>
    </x:row>
    <x:row r="13">
      <x:c r="A13" s="22" t="str">
        <x:v>WG-F012</x:v>
      </x:c>
      <x:c r="B13" s="22" t="str">
        <x:v>Auth</x:v>
      </x:c>
      <x:c r="C13" s="22" t="str">
        <x:v>Customer</x:v>
      </x:c>
      <x:c r="D13" s="22" t="str">
        <x:v>Password reset request</x:v>
      </x:c>
      <x:c r="E13" s="22" t="str">
        <x:v>Reset token is generated and expires after 30 minutes</x:v>
      </x:c>
      <x:c r="F13" s="22" t="str">
        <x:v>/api/auth/password-reset</x:v>
      </x:c>
      <x:c r="G13" s="22" t="str">
        <x:v>Not Tested</x:v>
      </x:c>
      <x:c r="H13" s="22" t="str">
        <x:v>☐</x:v>
      </x:c>
      <x:c r="I13" s="22" t="str">
        <x:v>Medium</x:v>
      </x:c>
      <x:c r="J13" s="22" t="str"/>
      <x:c r="K13" s="52" t="str"/>
      <x:c r="L13" s="22" t="str"/>
      <x:c r="M13" s="22" t="str"/>
      <x:c r="N13" s="22" t="str"/>
    </x:row>
    <x:row r="14">
      <x:c r="A14" s="22" t="str">
        <x:v>WG-F013</x:v>
      </x:c>
      <x:c r="B14" s="22" t="str">
        <x:v>Auth</x:v>
      </x:c>
      <x:c r="C14" s="22" t="str">
        <x:v>All</x:v>
      </x:c>
      <x:c r="D14" s="22" t="str">
        <x:v>Profile update</x:v>
      </x:c>
      <x:c r="E14" s="22" t="str">
        <x:v>User can update profile fields safely</x:v>
      </x:c>
      <x:c r="F14" s="22" t="str">
        <x:v>/api/auth/profile</x:v>
      </x:c>
      <x:c r="G14" s="22" t="str">
        <x:v>Not Tested</x:v>
      </x:c>
      <x:c r="H14" s="22" t="str">
        <x:v>☐</x:v>
      </x:c>
      <x:c r="I14" s="22" t="str">
        <x:v>Medium</x:v>
      </x:c>
      <x:c r="J14" s="22" t="str"/>
      <x:c r="K14" s="52" t="str"/>
      <x:c r="L14" s="22" t="str"/>
      <x:c r="M14" s="22" t="str"/>
      <x:c r="N14" s="22" t="str"/>
    </x:row>
    <x:row r="15">
      <x:c r="A15" s="22" t="str">
        <x:v>WG-F014</x:v>
      </x:c>
      <x:c r="B15" s="22" t="str">
        <x:v>Auth</x:v>
      </x:c>
      <x:c r="C15" s="22" t="str">
        <x:v>All</x:v>
      </x:c>
      <x:c r="D15" s="22" t="str">
        <x:v>Avatar update</x:v>
      </x:c>
      <x:c r="E15" s="22" t="str">
        <x:v>Avatar upload/update works and persists</x:v>
      </x:c>
      <x:c r="F15" s="22" t="str">
        <x:v>/api/auth/avatar</x:v>
      </x:c>
      <x:c r="G15" s="22" t="str">
        <x:v>Not Tested</x:v>
      </x:c>
      <x:c r="H15" s="22" t="str">
        <x:v>☐</x:v>
      </x:c>
      <x:c r="I15" s="22" t="str">
        <x:v>Low</x:v>
      </x:c>
      <x:c r="J15" s="22" t="str"/>
      <x:c r="K15" s="52" t="str"/>
      <x:c r="L15" s="22" t="str"/>
      <x:c r="M15" s="22" t="str"/>
      <x:c r="N15" s="22" t="str"/>
    </x:row>
    <x:row r="16">
      <x:c r="A16" s="22" t="str">
        <x:v>WG-F015</x:v>
      </x:c>
      <x:c r="B16" s="22" t="str">
        <x:v>Auth / Onboarding</x:v>
      </x:c>
      <x:c r="C16" s="22" t="str">
        <x:v>All</x:v>
      </x:c>
      <x:c r="D16" s="22" t="str">
        <x:v>Role onboarding completion</x:v>
      </x:c>
      <x:c r="E16" s="22" t="str">
        <x:v>Customer, collector, and admin onboarding completion states render and persist correctly</x:v>
      </x:c>
      <x:c r="F16" s="22" t="str">
        <x:v>/api/auth/onboarding + role onboarding pages</x:v>
      </x:c>
      <x:c r="G16" s="22" t="str">
        <x:v>Not Tested</x:v>
      </x:c>
      <x:c r="H16" s="22" t="str">
        <x:v>☐</x:v>
      </x:c>
      <x:c r="I16" s="22" t="str">
        <x:v>High</x:v>
      </x:c>
      <x:c r="J16" s="22"/>
      <x:c r="K16" s="52"/>
      <x:c r="L16" s="22"/>
      <x:c r="M16" s="22" t="str">
        <x:v>Expanded from customer-only onboarding to all roles</x:v>
      </x:c>
      <x:c r="N16" s="22"/>
    </x:row>
    <x:row r="17">
      <x:c r="A17" s="22" t="str">
        <x:v>WG-F016</x:v>
      </x:c>
      <x:c r="B17" s="22" t="str">
        <x:v>Access Control</x:v>
      </x:c>
      <x:c r="C17" s="22" t="str">
        <x:v>Admin</x:v>
      </x:c>
      <x:c r="D17" s="22" t="str">
        <x:v>Admin guard</x:v>
      </x:c>
      <x:c r="E17" s="22" t="str">
        <x:v>Admin routes reject non-admin users</x:v>
      </x:c>
      <x:c r="F17" s="22" t="str">
        <x:v>requireAdmin() / /api/admin/*</x:v>
      </x:c>
      <x:c r="G17" s="22" t="str">
        <x:v>Not Tested</x:v>
      </x:c>
      <x:c r="H17" s="22" t="str">
        <x:v>☐</x:v>
      </x:c>
      <x:c r="I17" s="22" t="str">
        <x:v>Critical</x:v>
      </x:c>
      <x:c r="J17" s="22" t="str"/>
      <x:c r="K17" s="52" t="str"/>
      <x:c r="L17" s="22" t="str"/>
      <x:c r="M17" s="22" t="str"/>
      <x:c r="N17" s="22" t="str"/>
    </x:row>
    <x:row r="18">
      <x:c r="A18" s="22" t="str">
        <x:v>WG-F017</x:v>
      </x:c>
      <x:c r="B18" s="22" t="str">
        <x:v>Access Control</x:v>
      </x:c>
      <x:c r="C18" s="22" t="str">
        <x:v>Customer</x:v>
      </x:c>
      <x:c r="D18" s="22" t="str">
        <x:v>Customer ownership guard</x:v>
      </x:c>
      <x:c r="E18" s="22" t="str">
        <x:v>Customer can only see own addresses, pickups, vouchers, and redemptions</x:v>
      </x:c>
      <x:c r="F18" s="22" t="str">
        <x:v>/api/customer/*</x:v>
      </x:c>
      <x:c r="G18" s="22" t="str">
        <x:v>Not Tested</x:v>
      </x:c>
      <x:c r="H18" s="22" t="str">
        <x:v>☐</x:v>
      </x:c>
      <x:c r="I18" s="22" t="str">
        <x:v>Critical</x:v>
      </x:c>
      <x:c r="J18" s="22" t="str"/>
      <x:c r="K18" s="52" t="str"/>
      <x:c r="L18" s="22" t="str"/>
      <x:c r="M18" s="22" t="str"/>
      <x:c r="N18" s="22" t="str"/>
    </x:row>
    <x:row r="19">
      <x:c r="A19" s="22" t="str">
        <x:v>WG-F018</x:v>
      </x:c>
      <x:c r="B19" s="22" t="str">
        <x:v>Access Control</x:v>
      </x:c>
      <x:c r="C19" s="22" t="str">
        <x:v>Collector</x:v>
      </x:c>
      <x:c r="D19" s="22" t="str">
        <x:v>Collector pickup access scopes</x:v>
      </x:c>
      <x:c r="E19" s="22" t="str">
        <x:v>Collector can access available pickups and own accepted pickups only; unrelated protected data is blocked</x:v>
      </x:c>
      <x:c r="F19" s="22" t="str">
        <x:v>Collector available/my pickup pages + APIs</x:v>
      </x:c>
      <x:c r="G19" s="22" t="str">
        <x:v>Not Tested</x:v>
      </x:c>
      <x:c r="H19" s="22" t="str">
        <x:v>☐</x:v>
      </x:c>
      <x:c r="I19" s="22" t="str">
        <x:v>High</x:v>
      </x:c>
      <x:c r="J19" s="22"/>
      <x:c r="K19" s="52"/>
      <x:c r="L19" s="22"/>
      <x:c r="M19" s="22" t="str">
        <x:v>Split available vs my pickups in testing</x:v>
      </x:c>
      <x:c r="N19" s="22"/>
    </x:row>
    <x:row r="20">
      <x:c r="A20" s="22" t="str">
        <x:v>WG-F019</x:v>
      </x:c>
      <x:c r="B20" s="22" t="str">
        <x:v>Customer Address</x:v>
      </x:c>
      <x:c r="C20" s="22" t="str">
        <x:v>Customer</x:v>
      </x:c>
      <x:c r="D20" s="22" t="str">
        <x:v>Saved addresses list</x:v>
      </x:c>
      <x:c r="E20" s="22" t="str">
        <x:v>Customer can list saved addresses</x:v>
      </x:c>
      <x:c r="F20" s="22" t="str">
        <x:v>/api/customer/address</x:v>
      </x:c>
      <x:c r="G20" s="22" t="str">
        <x:v>Not Tested</x:v>
      </x:c>
      <x:c r="H20" s="22" t="str">
        <x:v>☐</x:v>
      </x:c>
      <x:c r="I20" s="22" t="str">
        <x:v>Critical</x:v>
      </x:c>
      <x:c r="J20" s="22" t="str"/>
      <x:c r="K20" s="52" t="str"/>
      <x:c r="L20" s="22" t="str"/>
      <x:c r="M20" s="22" t="str"/>
      <x:c r="N20" s="22" t="str"/>
    </x:row>
    <x:row r="21">
      <x:c r="A21" s="22" t="str">
        <x:v>WG-F020</x:v>
      </x:c>
      <x:c r="B21" s="22" t="str">
        <x:v>Customer Address</x:v>
      </x:c>
      <x:c r="C21" s="22" t="str">
        <x:v>Customer</x:v>
      </x:c>
      <x:c r="D21" s="22" t="str">
        <x:v>Create saved address</x:v>
      </x:c>
      <x:c r="E21" s="22" t="str">
        <x:v>Customer can save address with optional Google place metadata and coordinates</x:v>
      </x:c>
      <x:c r="F21" s="22" t="str">
        <x:v>/api/customer/address</x:v>
      </x:c>
      <x:c r="G21" s="22" t="str">
        <x:v>Not Tested</x:v>
      </x:c>
      <x:c r="H21" s="22" t="str">
        <x:v>☐</x:v>
      </x:c>
      <x:c r="I21" s="22" t="str">
        <x:v>High</x:v>
      </x:c>
      <x:c r="J21" s="22" t="str"/>
      <x:c r="K21" s="52" t="str"/>
      <x:c r="L21" s="22" t="str"/>
      <x:c r="M21" s="22" t="str"/>
      <x:c r="N21" s="22" t="str"/>
    </x:row>
    <x:row r="22">
      <x:c r="A22" s="22" t="str">
        <x:v>WG-F021</x:v>
      </x:c>
      <x:c r="B22" s="22" t="str">
        <x:v>Customer Address</x:v>
      </x:c>
      <x:c r="C22" s="22" t="str">
        <x:v>Customer</x:v>
      </x:c>
      <x:c r="D22" s="22" t="str">
        <x:v>Edit/delete address</x:v>
      </x:c>
      <x:c r="E22" s="22" t="str">
        <x:v>Customer can update and delete saved addresses</x:v>
      </x:c>
      <x:c r="F22" s="22" t="str">
        <x:v>/api/customer/address/:id</x:v>
      </x:c>
      <x:c r="G22" s="22" t="str">
        <x:v>Not Tested</x:v>
      </x:c>
      <x:c r="H22" s="22" t="str">
        <x:v>☐</x:v>
      </x:c>
      <x:c r="I22" s="22" t="str">
        <x:v>Medium</x:v>
      </x:c>
      <x:c r="J22" s="22" t="str"/>
      <x:c r="K22" s="52" t="str"/>
      <x:c r="L22" s="22" t="str"/>
      <x:c r="M22" s="22" t="str"/>
      <x:c r="N22" s="22" t="str"/>
    </x:row>
    <x:row r="23">
      <x:c r="A23" s="22" t="str">
        <x:v>WG-F022</x:v>
      </x:c>
      <x:c r="B23" s="22" t="str">
        <x:v>Places</x:v>
      </x:c>
      <x:c r="C23" s="22" t="str">
        <x:v>Customer</x:v>
      </x:c>
      <x:c r="D23" s="22" t="str">
        <x:v>Google Places search</x:v>
      </x:c>
      <x:c r="E23" s="22" t="str">
        <x:v>Location autocomplete/search returns usable place suggestions</x:v>
      </x:c>
      <x:c r="F23" s="22" t="str">
        <x:v>/api/places</x:v>
      </x:c>
      <x:c r="G23" s="22" t="str">
        <x:v>Not Tested</x:v>
      </x:c>
      <x:c r="H23" s="22" t="str">
        <x:v>☐</x:v>
      </x:c>
      <x:c r="I23" s="22" t="str">
        <x:v>Medium</x:v>
      </x:c>
      <x:c r="J23" s="22" t="str"/>
      <x:c r="K23" s="52" t="str"/>
      <x:c r="L23" s="22" t="str"/>
      <x:c r="M23" s="22" t="str"/>
      <x:c r="N23" s="22" t="str"/>
    </x:row>
    <x:row r="24">
      <x:c r="A24" s="22" t="str">
        <x:v>WG-F023</x:v>
      </x:c>
      <x:c r="B24" s="22" t="str">
        <x:v>Waste Categories</x:v>
      </x:c>
      <x:c r="C24" s="22" t="str">
        <x:v>Public/Customer</x:v>
      </x:c>
      <x:c r="D24" s="22" t="str">
        <x:v>Public waste categories list</x:v>
      </x:c>
      <x:c r="E24" s="22" t="str">
        <x:v>Active recyclable categories load for pickup flow</x:v>
      </x:c>
      <x:c r="F24" s="22" t="str">
        <x:v>/api/waste-categories</x:v>
      </x:c>
      <x:c r="G24" s="22" t="str">
        <x:v>Not Tested</x:v>
      </x:c>
      <x:c r="H24" s="22" t="str">
        <x:v>☐</x:v>
      </x:c>
      <x:c r="I24" s="22" t="str">
        <x:v>Critical</x:v>
      </x:c>
      <x:c r="J24" s="22" t="str"/>
      <x:c r="K24" s="52" t="str"/>
      <x:c r="L24" s="22" t="str"/>
      <x:c r="M24" s="22" t="str"/>
      <x:c r="N24" s="22" t="str"/>
    </x:row>
    <x:row r="25">
      <x:c r="A25" s="22" t="str">
        <x:v>WG-F024</x:v>
      </x:c>
      <x:c r="B25" s="22" t="str">
        <x:v>Waste Categories</x:v>
      </x:c>
      <x:c r="C25" s="22" t="str">
        <x:v>Admin</x:v>
      </x:c>
      <x:c r="D25" s="22" t="str">
        <x:v>Admin category CRUD</x:v>
      </x:c>
      <x:c r="E25" s="22" t="str">
        <x:v>Admin can create, update, ban/hazard flag, and delete waste categories</x:v>
      </x:c>
      <x:c r="F25" s="22" t="str">
        <x:v>/api/admin/waste-categories</x:v>
      </x:c>
      <x:c r="G25" s="22" t="str">
        <x:v>Not Tested</x:v>
      </x:c>
      <x:c r="H25" s="22" t="str">
        <x:v>☐</x:v>
      </x:c>
      <x:c r="I25" s="22" t="str">
        <x:v>Critical</x:v>
      </x:c>
      <x:c r="J25" s="22" t="str"/>
      <x:c r="K25" s="52" t="str"/>
      <x:c r="L25" s="22" t="str"/>
      <x:c r="M25" s="22" t="str"/>
      <x:c r="N25" s="22" t="str"/>
    </x:row>
    <x:row r="26">
      <x:c r="A26" s="22" t="str">
        <x:v>WG-F025</x:v>
      </x:c>
      <x:c r="B26" s="22" t="str">
        <x:v>Pickup</x:v>
      </x:c>
      <x:c r="C26" s="22" t="str">
        <x:v>Customer</x:v>
      </x:c>
      <x:c r="D26" s="22" t="str">
        <x:v>Open new pickup wizard</x:v>
      </x:c>
      <x:c r="E26" s="22" t="str">
        <x:v>Customer can open the new pickup wizard page</x:v>
      </x:c>
      <x:c r="F26" s="22" t="str">
        <x:v>apps/frontend customer new pickup</x:v>
      </x:c>
      <x:c r="G26" s="22" t="str">
        <x:v>Not Tested</x:v>
      </x:c>
      <x:c r="H26" s="22" t="str">
        <x:v>☐</x:v>
      </x:c>
      <x:c r="I26" s="22" t="str">
        <x:v>High</x:v>
      </x:c>
      <x:c r="J26" s="22" t="str"/>
      <x:c r="K26" s="52" t="str"/>
      <x:c r="L26" s="22" t="str"/>
      <x:c r="M26" s="22" t="str"/>
      <x:c r="N26" s="22" t="str"/>
    </x:row>
    <x:row r="27">
      <x:c r="A27" s="22" t="str">
        <x:v>WG-F026</x:v>
      </x:c>
      <x:c r="B27" s="22" t="str">
        <x:v>Pickup</x:v>
      </x:c>
      <x:c r="C27" s="22" t="str">
        <x:v>Customer</x:v>
      </x:c>
      <x:c r="D27" s="22" t="str">
        <x:v>Upload pickup images</x:v>
      </x:c>
      <x:c r="E27" s="22" t="str">
        <x:v>Customer can upload at least one image for a pickup</x:v>
      </x:c>
      <x:c r="F27" s="22" t="str">
        <x:v>Multer + Sharp + Supabase storage</x:v>
      </x:c>
      <x:c r="G27" s="22" t="str">
        <x:v>Not Tested</x:v>
      </x:c>
      <x:c r="H27" s="22" t="str">
        <x:v>☐</x:v>
      </x:c>
      <x:c r="I27" s="22" t="str">
        <x:v>Critical</x:v>
      </x:c>
      <x:c r="J27" s="22" t="str"/>
      <x:c r="K27" s="52" t="str"/>
      <x:c r="L27" s="22" t="str"/>
      <x:c r="M27" s="22" t="str"/>
      <x:c r="N27" s="22" t="str"/>
    </x:row>
    <x:row r="28">
      <x:c r="A28" s="22" t="str">
        <x:v>WG-F027</x:v>
      </x:c>
      <x:c r="B28" s="22" t="str">
        <x:v>Pickup</x:v>
      </x:c>
      <x:c r="C28" s="22" t="str">
        <x:v>Customer</x:v>
      </x:c>
      <x:c r="D28" s="22" t="str">
        <x:v>Image resize/compression</x:v>
      </x:c>
      <x:c r="E28" s="22" t="str">
        <x:v>Uploaded pickup image is normalized before storage/AI analysis</x:v>
      </x:c>
      <x:c r="F28" s="22" t="str">
        <x:v>Sharp</x:v>
      </x:c>
      <x:c r="G28" s="22" t="str">
        <x:v>Not Tested</x:v>
      </x:c>
      <x:c r="H28" s="22" t="str">
        <x:v>☐</x:v>
      </x:c>
      <x:c r="I28" s="22" t="str">
        <x:v>High</x:v>
      </x:c>
      <x:c r="J28" s="22" t="str"/>
      <x:c r="K28" s="52" t="str"/>
      <x:c r="L28" s="22" t="str"/>
      <x:c r="M28" s="22" t="str"/>
      <x:c r="N28" s="22" t="str"/>
    </x:row>
    <x:row r="29">
      <x:c r="A29" s="22" t="str">
        <x:v>WG-F028</x:v>
      </x:c>
      <x:c r="B29" s="22" t="str">
        <x:v>AI Detection</x:v>
      </x:c>
      <x:c r="C29" s="22" t="str">
        <x:v>Customer</x:v>
      </x:c>
      <x:c r="D29" s="22" t="str">
        <x:v>Analyze image endpoint</x:v>
      </x:c>
      <x:c r="E29" s="22" t="str">
        <x:v>Authenticated user can analyze up to 5 images</x:v>
      </x:c>
      <x:c r="F29" s="22" t="str">
        <x:v>POST /api/roboflow-ai/analyze-image</x:v>
      </x:c>
      <x:c r="G29" s="22" t="str">
        <x:v>Not Tested</x:v>
      </x:c>
      <x:c r="H29" s="22" t="str">
        <x:v>☐</x:v>
      </x:c>
      <x:c r="I29" s="22" t="str">
        <x:v>Critical</x:v>
      </x:c>
      <x:c r="J29" s="22" t="str"/>
      <x:c r="K29" s="52" t="str"/>
      <x:c r="L29" s="22" t="str"/>
      <x:c r="M29" s="22" t="str"/>
      <x:c r="N29" s="22" t="str"/>
    </x:row>
    <x:row r="30">
      <x:c r="A30" s="22" t="str">
        <x:v>WG-F029</x:v>
      </x:c>
      <x:c r="B30" s="22" t="str">
        <x:v>AI Detection</x:v>
      </x:c>
      <x:c r="C30" s="22" t="str">
        <x:v>Customer</x:v>
      </x:c>
      <x:c r="D30" s="22" t="str">
        <x:v>Roboflow workflow integration</x:v>
      </x:c>
      <x:c r="E30" s="22" t="str">
        <x:v>Images are sent to configured Roboflow workflow and response is parsed</x:v>
      </x:c>
      <x:c r="F30" s="22" t="str">
        <x:v>harith-haiqal-syaiful-eksan/general-segmentation-api-3</x:v>
      </x:c>
      <x:c r="G30" s="22" t="str">
        <x:v>Not Tested</x:v>
      </x:c>
      <x:c r="H30" s="22" t="str">
        <x:v>☐</x:v>
      </x:c>
      <x:c r="I30" s="22" t="str">
        <x:v>High</x:v>
      </x:c>
      <x:c r="J30" s="22" t="str"/>
      <x:c r="K30" s="52" t="str"/>
      <x:c r="L30" s="22" t="str"/>
      <x:c r="M30" s="22" t="str"/>
      <x:c r="N30" s="22" t="str"/>
    </x:row>
    <x:row r="31">
      <x:c r="A31" s="22" t="str">
        <x:v>WG-F030</x:v>
      </x:c>
      <x:c r="B31" s="22" t="str">
        <x:v>AI Detection</x:v>
      </x:c>
      <x:c r="C31" s="22" t="str">
        <x:v>Customer</x:v>
      </x:c>
      <x:c r="D31" s="22" t="str">
        <x:v>AI category matching</x:v>
      </x:c>
      <x:c r="E31" s="22" t="str">
        <x:v>Predicted classes map to active non-banned non-hazardous AI-detectable categories</x:v>
      </x:c>
      <x:c r="F31" s="22" t="str">
        <x:v>WasteCategory matching</x:v>
      </x:c>
      <x:c r="G31" s="22" t="str">
        <x:v>Not Tested</x:v>
      </x:c>
      <x:c r="H31" s="22" t="str">
        <x:v>☐</x:v>
      </x:c>
      <x:c r="I31" s="22" t="str">
        <x:v>High</x:v>
      </x:c>
      <x:c r="J31" s="22" t="str"/>
      <x:c r="K31" s="52" t="str"/>
      <x:c r="L31" s="22" t="str"/>
      <x:c r="M31" s="22" t="str"/>
      <x:c r="N31" s="22" t="str"/>
    </x:row>
    <x:row r="32">
      <x:c r="A32" s="22" t="str">
        <x:v>WG-F031</x:v>
      </x:c>
      <x:c r="B32" s="22" t="str">
        <x:v>AI Detection</x:v>
      </x:c>
      <x:c r="C32" s="22" t="str">
        <x:v>Customer</x:v>
      </x:c>
      <x:c r="D32" s="22" t="str">
        <x:v>AI estimates</x:v>
      </x:c>
      <x:c r="E32" s="22" t="str">
        <x:v>API returns item counts, estimated weights, estimated points, size, and image-level results</x:v>
      </x:c>
      <x:c r="F32" s="22" t="str">
        <x:v>POST /api/roboflow-ai/analyze-image</x:v>
      </x:c>
      <x:c r="G32" s="22" t="str">
        <x:v>Not Tested</x:v>
      </x:c>
      <x:c r="H32" s="22" t="str">
        <x:v>☐</x:v>
      </x:c>
      <x:c r="I32" s="22" t="str">
        <x:v>High</x:v>
      </x:c>
      <x:c r="J32" s="22" t="str"/>
      <x:c r="K32" s="52" t="str"/>
      <x:c r="L32" s="22" t="str"/>
      <x:c r="M32" s="22" t="str"/>
      <x:c r="N32" s="22" t="str"/>
    </x:row>
    <x:row r="33">
      <x:c r="A33" s="22" t="str">
        <x:v>WG-F032</x:v>
      </x:c>
      <x:c r="B33" s="22" t="str">
        <x:v>Pickup</x:v>
      </x:c>
      <x:c r="C33" s="22" t="str">
        <x:v>Customer</x:v>
      </x:c>
      <x:c r="D33" s="22" t="str">
        <x:v>Manual category adjustment</x:v>
      </x:c>
      <x:c r="E33" s="22" t="str">
        <x:v>Customer can adjust AI-detected category and estimated weight before submit</x:v>
      </x:c>
      <x:c r="F33" s="22" t="str">
        <x:v>CustomerNewPickupPage</x:v>
      </x:c>
      <x:c r="G33" s="22" t="str">
        <x:v>Not Tested</x:v>
      </x:c>
      <x:c r="H33" s="22" t="str">
        <x:v>☐</x:v>
      </x:c>
      <x:c r="I33" s="22" t="str">
        <x:v>Critical</x:v>
      </x:c>
      <x:c r="J33" s="22" t="str"/>
      <x:c r="K33" s="52" t="str"/>
      <x:c r="L33" s="22" t="str"/>
      <x:c r="M33" s="22" t="str"/>
      <x:c r="N33" s="22" t="str"/>
    </x:row>
    <x:row r="34">
      <x:c r="A34" s="22" t="str">
        <x:v>WG-F033</x:v>
      </x:c>
      <x:c r="B34" s="22" t="str">
        <x:v>Pickup</x:v>
      </x:c>
      <x:c r="C34" s="22" t="str">
        <x:v>Customer</x:v>
      </x:c>
      <x:c r="D34" s="22" t="str">
        <x:v>Choose saved address or free text address</x:v>
      </x:c>
      <x:c r="E34" s="22" t="str">
        <x:v>Pickup can use saved address or manually entered address text</x:v>
      </x:c>
      <x:c r="F34" s="22" t="str">
        <x:v>CustomerNewPickupPage / AddressService</x:v>
      </x:c>
      <x:c r="G34" s="22" t="str">
        <x:v>Not Tested</x:v>
      </x:c>
      <x:c r="H34" s="22" t="str">
        <x:v>☐</x:v>
      </x:c>
      <x:c r="I34" s="22" t="str">
        <x:v>High</x:v>
      </x:c>
      <x:c r="J34" s="22" t="str"/>
      <x:c r="K34" s="52" t="str"/>
      <x:c r="L34" s="22" t="str"/>
      <x:c r="M34" s="22" t="str"/>
      <x:c r="N34" s="22" t="str"/>
    </x:row>
    <x:row r="35">
      <x:c r="A35" s="22" t="str">
        <x:v>WG-F034</x:v>
      </x:c>
      <x:c r="B35" s="22" t="str">
        <x:v>Pickup</x:v>
      </x:c>
      <x:c r="C35" s="22" t="str">
        <x:v>Customer</x:v>
      </x:c>
      <x:c r="D35" s="22" t="str">
        <x:v>Create pickup request</x:v>
      </x:c>
      <x:c r="E35" s="22" t="str">
        <x:v>Backend creates PickupRequest, PickupItem, and PickupImage rows</x:v>
      </x:c>
      <x:c r="F35" s="22" t="str">
        <x:v>/api/customer/pickups</x:v>
      </x:c>
      <x:c r="G35" s="22" t="str">
        <x:v>Not Tested</x:v>
      </x:c>
      <x:c r="H35" s="22" t="str">
        <x:v>☐</x:v>
      </x:c>
      <x:c r="I35" s="22" t="str">
        <x:v>Critical</x:v>
      </x:c>
      <x:c r="J35" s="22" t="str"/>
      <x:c r="K35" s="52" t="str"/>
      <x:c r="L35" s="22" t="str"/>
      <x:c r="M35" s="22" t="str"/>
      <x:c r="N35" s="22" t="str"/>
    </x:row>
    <x:row r="36">
      <x:c r="A36" s="22" t="str">
        <x:v>WG-F035</x:v>
      </x:c>
      <x:c r="B36" s="22" t="str">
        <x:v>Pickup</x:v>
      </x:c>
      <x:c r="C36" s="22" t="str">
        <x:v>Customer</x:v>
      </x:c>
      <x:c r="D36" s="22" t="str">
        <x:v>Active pickup constraint</x:v>
      </x:c>
      <x:c r="E36" s="22" t="str">
        <x:v>Customer cannot create a new pickup while another active pickup exists</x:v>
      </x:c>
      <x:c r="F36" s="22" t="str">
        <x:v>/api/customer/pickups</x:v>
      </x:c>
      <x:c r="G36" s="22" t="str">
        <x:v>Not Tested</x:v>
      </x:c>
      <x:c r="H36" s="22" t="str">
        <x:v>☐</x:v>
      </x:c>
      <x:c r="I36" s="22" t="str">
        <x:v>Critical</x:v>
      </x:c>
      <x:c r="J36" s="22" t="str"/>
      <x:c r="K36" s="52" t="str"/>
      <x:c r="L36" s="22" t="str"/>
      <x:c r="M36" s="22" t="str"/>
      <x:c r="N36" s="22" t="str"/>
    </x:row>
    <x:row r="37">
      <x:c r="A37" s="22" t="str">
        <x:v>WG-F036</x:v>
      </x:c>
      <x:c r="B37" s="22" t="str">
        <x:v>Pickup</x:v>
      </x:c>
      <x:c r="C37" s="22" t="str">
        <x:v>Customer</x:v>
      </x:c>
      <x:c r="D37" s="22" t="str">
        <x:v>List own pickups</x:v>
      </x:c>
      <x:c r="E37" s="22" t="str">
        <x:v>Customer can list their pickup requests</x:v>
      </x:c>
      <x:c r="F37" s="22" t="str">
        <x:v>GET /api/customer/pickups</x:v>
      </x:c>
      <x:c r="G37" s="22" t="str">
        <x:v>Not Tested</x:v>
      </x:c>
      <x:c r="H37" s="22" t="str">
        <x:v>☐</x:v>
      </x:c>
      <x:c r="I37" s="22" t="str">
        <x:v>High</x:v>
      </x:c>
      <x:c r="J37" s="22" t="str"/>
      <x:c r="K37" s="52" t="str"/>
      <x:c r="L37" s="22" t="str"/>
      <x:c r="M37" s="22" t="str"/>
      <x:c r="N37" s="22" t="str"/>
    </x:row>
    <x:row r="38">
      <x:c r="A38" s="22" t="str">
        <x:v>WG-F037</x:v>
      </x:c>
      <x:c r="B38" s="22" t="str">
        <x:v>Pickup</x:v>
      </x:c>
      <x:c r="C38" s="22" t="str">
        <x:v>Customer</x:v>
      </x:c>
      <x:c r="D38" s="22" t="str">
        <x:v>Pickup detail page</x:v>
      </x:c>
      <x:c r="E38" s="22" t="str">
        <x:v>Customer can view pickup items, images, status, notes, and collector data</x:v>
      </x:c>
      <x:c r="F38" s="22" t="str">
        <x:v>GET /api/customer/pickups/:id</x:v>
      </x:c>
      <x:c r="G38" s="22" t="str">
        <x:v>Not Tested</x:v>
      </x:c>
      <x:c r="H38" s="22" t="str">
        <x:v>☐</x:v>
      </x:c>
      <x:c r="I38" s="22" t="str">
        <x:v>High</x:v>
      </x:c>
      <x:c r="J38" s="22" t="str"/>
      <x:c r="K38" s="52" t="str"/>
      <x:c r="L38" s="22" t="str"/>
      <x:c r="M38" s="22" t="str"/>
      <x:c r="N38" s="22" t="str"/>
    </x:row>
    <x:row r="39">
      <x:c r="A39" s="22" t="str">
        <x:v>WG-F038</x:v>
      </x:c>
      <x:c r="B39" s="22" t="str">
        <x:v>Pickup</x:v>
      </x:c>
      <x:c r="C39" s="22" t="str">
        <x:v>Customer</x:v>
      </x:c>
      <x:c r="D39" s="22" t="str">
        <x:v>Cancel own pickup</x:v>
      </x:c>
      <x:c r="E39" s="22" t="str">
        <x:v>Customer can cancel eligible pickup request</x:v>
      </x:c>
      <x:c r="F39" s="22" t="str">
        <x:v>/api/customer/pickups/:id/cancel</x:v>
      </x:c>
      <x:c r="G39" s="22" t="str">
        <x:v>Not Tested</x:v>
      </x:c>
      <x:c r="H39" s="22" t="str">
        <x:v>☐</x:v>
      </x:c>
      <x:c r="I39" s="22" t="str">
        <x:v>High</x:v>
      </x:c>
      <x:c r="J39" s="22" t="str"/>
      <x:c r="K39" s="52" t="str"/>
      <x:c r="L39" s="22" t="str"/>
      <x:c r="M39" s="22" t="str"/>
      <x:c r="N39" s="22" t="str"/>
    </x:row>
    <x:row r="40">
      <x:c r="A40" s="22" t="str">
        <x:v>WG-F039</x:v>
      </x:c>
      <x:c r="B40" s="22" t="str">
        <x:v>Pickup Lifecycle</x:v>
      </x:c>
      <x:c r="C40" s="22" t="str">
        <x:v>Collector</x:v>
      </x:c>
      <x:c r="D40" s="22" t="str">
        <x:v>Accept pending pickup</x:v>
      </x:c>
      <x:c r="E40" s="22" t="str">
        <x:v>Collector can move pickup from PENDING to ACCEPTED through the collector workflow</x:v>
      </x:c>
      <x:c r="F40" s="22" t="str">
        <x:v>Collector action workflow / PickupStatus ACCEPTED</x:v>
      </x:c>
      <x:c r="G40" s="22" t="str">
        <x:v>Not Tested</x:v>
      </x:c>
      <x:c r="H40" s="22" t="str">
        <x:v>☐</x:v>
      </x:c>
      <x:c r="I40" s="22" t="str">
        <x:v>Critical</x:v>
      </x:c>
      <x:c r="J40" s="22"/>
      <x:c r="K40" s="52"/>
      <x:c r="L40" s="22"/>
      <x:c r="M40" s="22" t="str">
        <x:v>Admin list/view only unless assign endpoint is reintroduced</x:v>
      </x:c>
      <x:c r="N40" s="22"/>
    </x:row>
    <x:row r="41">
      <x:c r="A41" s="22" t="str">
        <x:v>WG-F040</x:v>
      </x:c>
      <x:c r="B41" s="22" t="str">
        <x:v>Pickup Lifecycle</x:v>
      </x:c>
      <x:c r="C41" s="22" t="str">
        <x:v>Collector</x:v>
      </x:c>
      <x:c r="D41" s="22" t="str">
        <x:v>Mark pickup arrived</x:v>
      </x:c>
      <x:c r="E41" s="22" t="str">
        <x:v>Collector can mark an accepted pickup as ARRIVED</x:v>
      </x:c>
      <x:c r="F41" s="22" t="str">
        <x:v>Collector action workflow / PickupStatus ARRIVED</x:v>
      </x:c>
      <x:c r="G41" s="22" t="str">
        <x:v>Not Tested</x:v>
      </x:c>
      <x:c r="H41" s="22" t="str">
        <x:v>☐</x:v>
      </x:c>
      <x:c r="I41" s="22" t="str">
        <x:v>High</x:v>
      </x:c>
      <x:c r="J41" s="22"/>
      <x:c r="K41" s="52"/>
      <x:c r="L41" s="22"/>
      <x:c r="M41" s="22" t="str">
        <x:v>Collector-side lifecycle action</x:v>
      </x:c>
      <x:c r="N41" s="22"/>
    </x:row>
    <x:row r="42">
      <x:c r="A42" s="22" t="str">
        <x:v>WG-F041</x:v>
      </x:c>
      <x:c r="B42" s="22" t="str">
        <x:v>Pickup Lifecycle</x:v>
      </x:c>
      <x:c r="C42" s="22" t="str">
        <x:v>Collector</x:v>
      </x:c>
      <x:c r="D42" s="22" t="str">
        <x:v>Verify pickup values</x:v>
      </x:c>
      <x:c r="E42" s="22" t="str">
        <x:v>Collector can save actual weight/category values and move pickup to VERIFIED</x:v>
      </x:c>
      <x:c r="F42" s="22" t="str">
        <x:v>Collector verification workflow / PickupStatus VERIFIED</x:v>
      </x:c>
      <x:c r="G42" s="22" t="str">
        <x:v>Not Tested</x:v>
      </x:c>
      <x:c r="H42" s="22" t="str">
        <x:v>☐</x:v>
      </x:c>
      <x:c r="I42" s="22" t="str">
        <x:v>Critical</x:v>
      </x:c>
      <x:c r="J42" s="22"/>
      <x:c r="K42" s="52"/>
      <x:c r="L42" s="22"/>
      <x:c r="M42" s="22" t="str">
        <x:v>Must compare customer/AI estimate vs collector verified values</x:v>
      </x:c>
      <x:c r="N42" s="22"/>
    </x:row>
    <x:row r="43">
      <x:c r="A43" s="22" t="str">
        <x:v>WG-F042</x:v>
      </x:c>
      <x:c r="B43" s="22" t="str">
        <x:v>Pickup Lifecycle</x:v>
      </x:c>
      <x:c r="C43" s="22" t="str">
        <x:v>Collector</x:v>
      </x:c>
      <x:c r="D43" s="22" t="str">
        <x:v>Complete verified pickup</x:v>
      </x:c>
      <x:c r="E43" s="22" t="str">
        <x:v>Collector can complete a verified pickup and points are awarded where expected</x:v>
      </x:c>
      <x:c r="F43" s="22" t="str">
        <x:v>Collector action workflow / PickupStatus COMPLETED</x:v>
      </x:c>
      <x:c r="G43" s="22" t="str">
        <x:v>Not Tested</x:v>
      </x:c>
      <x:c r="H43" s="22" t="str">
        <x:v>☐</x:v>
      </x:c>
      <x:c r="I43" s="22" t="str">
        <x:v>Critical</x:v>
      </x:c>
      <x:c r="J43" s="22"/>
      <x:c r="K43" s="52"/>
      <x:c r="L43" s="22"/>
      <x:c r="M43" s="22" t="str">
        <x:v>Collector-side lifecycle action</x:v>
      </x:c>
      <x:c r="N43" s="22"/>
    </x:row>
    <x:row r="44">
      <x:c r="A44" s="22" t="str">
        <x:v>WG-F043</x:v>
      </x:c>
      <x:c r="B44" s="22" t="str">
        <x:v>Admin Pickups</x:v>
      </x:c>
      <x:c r="C44" s="22" t="str">
        <x:v>Admin</x:v>
      </x:c>
      <x:c r="D44" s="22" t="str">
        <x:v>List all pickup requests</x:v>
      </x:c>
      <x:c r="E44" s="22" t="str">
        <x:v>Admin can list pickups with customer, collector, items, and images</x:v>
      </x:c>
      <x:c r="F44" s="22" t="str">
        <x:v>GET /api/admin/pickups</x:v>
      </x:c>
      <x:c r="G44" s="22" t="str">
        <x:v>Not Tested</x:v>
      </x:c>
      <x:c r="H44" s="22" t="str">
        <x:v>☐</x:v>
      </x:c>
      <x:c r="I44" s="22" t="str">
        <x:v>Critical</x:v>
      </x:c>
      <x:c r="J44" s="22" t="str"/>
      <x:c r="K44" s="52" t="str"/>
      <x:c r="L44" s="22" t="str"/>
      <x:c r="M44" s="22" t="str"/>
      <x:c r="N44" s="22" t="str"/>
    </x:row>
    <x:row r="45">
      <x:c r="A45" s="22" t="str">
        <x:v>WG-F044</x:v>
      </x:c>
      <x:c r="B45" s="22" t="str">
        <x:v>Admin Pickups</x:v>
      </x:c>
      <x:c r="C45" s="22" t="str">
        <x:v>Admin</x:v>
      </x:c>
      <x:c r="D45" s="22" t="str">
        <x:v>Admin pickup list/detail only</x:v>
      </x:c>
      <x:c r="E45" s="22" t="str">
        <x:v>Admin can list and view pickup details; collector assignment endpoint is not currently confirmed</x:v>
      </x:c>
      <x:c r="F45" s="22" t="str">
        <x:v>GET /api/admin/pickups + admin pickup detail</x:v>
      </x:c>
      <x:c r="G45" s="22" t="str">
        <x:v>Needs Review</x:v>
      </x:c>
      <x:c r="H45" s="22" t="str">
        <x:v>?</x:v>
      </x:c>
      <x:c r="I45" s="22" t="str">
        <x:v>Medium</x:v>
      </x:c>
      <x:c r="J45" s="22"/>
      <x:c r="K45" s="52"/>
      <x:c r="L45" s="22"/>
      <x:c r="M45" s="22" t="str">
        <x:v>Was: admin assign collector. Recheck if assignment should be implemented.</x:v>
      </x:c>
      <x:c r="N45" s="22"/>
    </x:row>
    <x:row r="46">
      <x:c r="A46" s="22" t="str">
        <x:v>WG-F045</x:v>
      </x:c>
      <x:c r="B46" s="22" t="str">
        <x:v>Collector</x:v>
      </x:c>
      <x:c r="C46" s="22" t="str">
        <x:v>Collector</x:v>
      </x:c>
      <x:c r="D46" s="22" t="str">
        <x:v>Collector dashboard</x:v>
      </x:c>
      <x:c r="E46" s="22" t="str">
        <x:v>Collector can see dashboard summary and assigned/available jobs</x:v>
      </x:c>
      <x:c r="F46" s="22" t="str">
        <x:v>Collector Dashboard</x:v>
      </x:c>
      <x:c r="G46" s="22" t="str">
        <x:v>Not Tested</x:v>
      </x:c>
      <x:c r="H46" s="22" t="str">
        <x:v>☐</x:v>
      </x:c>
      <x:c r="I46" s="22" t="str">
        <x:v>High</x:v>
      </x:c>
      <x:c r="J46" s="22" t="str"/>
      <x:c r="K46" s="52" t="str"/>
      <x:c r="L46" s="22" t="str"/>
      <x:c r="M46" s="22" t="str"/>
      <x:c r="N46" s="22" t="str"/>
    </x:row>
    <x:row r="47">
      <x:c r="A47" s="22" t="str">
        <x:v>WG-F046</x:v>
      </x:c>
      <x:c r="B47" s="22" t="str">
        <x:v>Collector</x:v>
      </x:c>
      <x:c r="C47" s="22" t="str">
        <x:v>Collector</x:v>
      </x:c>
      <x:c r="D47" s="22" t="str">
        <x:v>Collector pickup experience</x:v>
      </x:c>
      <x:c r="E47" s="22" t="str">
        <x:v>Collector has available pickup list, my pickup list, slug detail, action workflow, route map, and route preview</x:v>
      </x:c>
      <x:c r="F47" s="22" t="str">
        <x:v>Collector available/my pickups + slug detail + route map</x:v>
      </x:c>
      <x:c r="G47" s="22" t="str">
        <x:v>Not Tested</x:v>
      </x:c>
      <x:c r="H47" s="22" t="str">
        <x:v>☐</x:v>
      </x:c>
      <x:c r="I47" s="22" t="str">
        <x:v>Critical</x:v>
      </x:c>
      <x:c r="J47" s="22"/>
      <x:c r="K47" s="52"/>
      <x:c r="L47" s="22"/>
      <x:c r="M47" s="22" t="str">
        <x:v>Expanded from basic pickup view</x:v>
      </x:c>
      <x:c r="N47" s="22"/>
    </x:row>
    <x:row r="48">
      <x:c r="A48" s="22" t="str">
        <x:v>WG-F047</x:v>
      </x:c>
      <x:c r="B48" s="22" t="str">
        <x:v>Collector</x:v>
      </x:c>
      <x:c r="C48" s="22" t="str">
        <x:v>Collector</x:v>
      </x:c>
      <x:c r="D48" s="22" t="str">
        <x:v>Collector earnings page</x:v>
      </x:c>
      <x:c r="E48" s="22" t="str">
        <x:v>Collector can view earnings page without crashing</x:v>
      </x:c>
      <x:c r="F48" s="22" t="str">
        <x:v>Collector Earnings</x:v>
      </x:c>
      <x:c r="G48" s="22" t="str">
        <x:v>Not Tested</x:v>
      </x:c>
      <x:c r="H48" s="22" t="str">
        <x:v>☐</x:v>
      </x:c>
      <x:c r="I48" s="22" t="str">
        <x:v>Medium</x:v>
      </x:c>
      <x:c r="J48" s="22" t="str"/>
      <x:c r="K48" s="52" t="str"/>
      <x:c r="L48" s="22" t="str"/>
      <x:c r="M48" s="22" t="str"/>
      <x:c r="N48" s="22" t="str"/>
    </x:row>
    <x:row r="49">
      <x:c r="A49" s="22" t="str">
        <x:v>WG-F048</x:v>
      </x:c>
      <x:c r="B49" s="22" t="str">
        <x:v>Rewards</x:v>
      </x:c>
      <x:c r="C49" s="22" t="str">
        <x:v>Customer</x:v>
      </x:c>
      <x:c r="D49" s="22" t="str">
        <x:v>Customer voucher list</x:v>
      </x:c>
      <x:c r="E49" s="22" t="str">
        <x:v>Customer sees active redeemable vouchers and current point balance</x:v>
      </x:c>
      <x:c r="F49" s="22" t="str">
        <x:v>GET /api/customer/vouchers</x:v>
      </x:c>
      <x:c r="G49" s="22" t="str">
        <x:v>Not Tested</x:v>
      </x:c>
      <x:c r="H49" s="22" t="str">
        <x:v>☐</x:v>
      </x:c>
      <x:c r="I49" s="22" t="str">
        <x:v>Critical</x:v>
      </x:c>
      <x:c r="J49" s="22" t="str"/>
      <x:c r="K49" s="52" t="str"/>
      <x:c r="L49" s="22" t="str"/>
      <x:c r="M49" s="22" t="str"/>
      <x:c r="N49" s="22" t="str"/>
    </x:row>
    <x:row r="50">
      <x:c r="A50" s="22" t="str">
        <x:v>WG-F049</x:v>
      </x:c>
      <x:c r="B50" s="22" t="str">
        <x:v>Rewards</x:v>
      </x:c>
      <x:c r="C50" s="22" t="str">
        <x:v>Customer</x:v>
      </x:c>
      <x:c r="D50" s="22" t="str">
        <x:v>Voucher redemption history</x:v>
      </x:c>
      <x:c r="E50" s="22" t="str">
        <x:v>Customer can list past redemptions</x:v>
      </x:c>
      <x:c r="F50" s="22" t="str">
        <x:v>GET /api/customer/vouchers/redemptions</x:v>
      </x:c>
      <x:c r="G50" s="22" t="str">
        <x:v>Not Tested</x:v>
      </x:c>
      <x:c r="H50" s="22" t="str">
        <x:v>☐</x:v>
      </x:c>
      <x:c r="I50" s="22" t="str">
        <x:v>Medium</x:v>
      </x:c>
      <x:c r="J50" s="22" t="str"/>
      <x:c r="K50" s="52" t="str"/>
      <x:c r="L50" s="22" t="str"/>
      <x:c r="M50" s="22" t="str"/>
      <x:c r="N50" s="22" t="str"/>
    </x:row>
    <x:row r="51">
      <x:c r="A51" s="22" t="str">
        <x:v>WG-F050</x:v>
      </x:c>
      <x:c r="B51" s="22" t="str">
        <x:v>Rewards</x:v>
      </x:c>
      <x:c r="C51" s="22" t="str">
        <x:v>Customer</x:v>
      </x:c>
      <x:c r="D51" s="22" t="str">
        <x:v>Redeem voucher transaction</x:v>
      </x:c>
      <x:c r="E51" s="22" t="str">
        <x:v>Voucher redeem checks active/date/points/stock and writes redemption + negative ledger</x:v>
      </x:c>
      <x:c r="F51" s="22" t="str">
        <x:v>POST /api/customer/vouchers/:voucherId/redeem</x:v>
      </x:c>
      <x:c r="G51" s="22" t="str">
        <x:v>Not Tested</x:v>
      </x:c>
      <x:c r="H51" s="22" t="str">
        <x:v>☐</x:v>
      </x:c>
      <x:c r="I51" s="22" t="str">
        <x:v>Critical</x:v>
      </x:c>
      <x:c r="J51" s="22" t="str"/>
      <x:c r="K51" s="52" t="str"/>
      <x:c r="L51" s="22" t="str"/>
      <x:c r="M51" s="22" t="str"/>
      <x:c r="N51" s="22" t="str"/>
    </x:row>
    <x:row r="52">
      <x:c r="A52" s="22" t="str">
        <x:v>WG-F051</x:v>
      </x:c>
      <x:c r="B52" s="22" t="str">
        <x:v>Rewards</x:v>
      </x:c>
      <x:c r="C52" s="22" t="str">
        <x:v>Admin</x:v>
      </x:c>
      <x:c r="D52" s="22" t="str">
        <x:v>Admin voucher CRUD</x:v>
      </x:c>
      <x:c r="E52" s="22" t="str">
        <x:v>Admin can create, update, deactivate/delete vouchers</x:v>
      </x:c>
      <x:c r="F52" s="22" t="str">
        <x:v>/api/admin/vouchers</x:v>
      </x:c>
      <x:c r="G52" s="22" t="str">
        <x:v>Not Tested</x:v>
      </x:c>
      <x:c r="H52" s="22" t="str">
        <x:v>☐</x:v>
      </x:c>
      <x:c r="I52" s="22" t="str">
        <x:v>Critical</x:v>
      </x:c>
      <x:c r="J52" s="22" t="str"/>
      <x:c r="K52" s="52" t="str"/>
      <x:c r="L52" s="22" t="str"/>
      <x:c r="M52" s="22" t="str"/>
      <x:c r="N52" s="22" t="str"/>
    </x:row>
    <x:row r="53">
      <x:c r="A53" s="22" t="str">
        <x:v>WG-F052</x:v>
      </x:c>
      <x:c r="B53" s="22" t="str">
        <x:v>Rewards</x:v>
      </x:c>
      <x:c r="C53" s="22" t="str">
        <x:v>Admin</x:v>
      </x:c>
      <x:c r="D53" s="22" t="str">
        <x:v>Admin redemption and point ledger logs</x:v>
      </x:c>
      <x:c r="E53" s="22" t="str">
        <x:v>Admin can view redemptions and point ledger logs</x:v>
      </x:c>
      <x:c r="F53" s="22" t="str">
        <x:v>/api/admin/vouchers / ledger</x:v>
      </x:c>
      <x:c r="G53" s="22" t="str">
        <x:v>Not Tested</x:v>
      </x:c>
      <x:c r="H53" s="22" t="str">
        <x:v>☐</x:v>
      </x:c>
      <x:c r="I53" s="22" t="str">
        <x:v>High</x:v>
      </x:c>
      <x:c r="J53" s="22" t="str"/>
      <x:c r="K53" s="52" t="str"/>
      <x:c r="L53" s="22" t="str"/>
      <x:c r="M53" s="22" t="str"/>
      <x:c r="N53" s="22" t="str"/>
    </x:row>
    <x:row r="54">
      <x:c r="A54" s="22" t="str">
        <x:v>WG-F053</x:v>
      </x:c>
      <x:c r="B54" s="22" t="str">
        <x:v>Notifications</x:v>
      </x:c>
      <x:c r="C54" s="22" t="str">
        <x:v>All</x:v>
      </x:c>
      <x:c r="D54" s="22" t="str">
        <x:v>Create pickup notification</x:v>
      </x:c>
      <x:c r="E54" s="22" t="str">
        <x:v>Pickup creation creates “Pickup request created” notification</x:v>
      </x:c>
      <x:c r="F54" s="22" t="str">
        <x:v>NotificationService / DB Notification</x:v>
      </x:c>
      <x:c r="G54" s="22" t="str">
        <x:v>Not Tested</x:v>
      </x:c>
      <x:c r="H54" s="22" t="str">
        <x:v>☐</x:v>
      </x:c>
      <x:c r="I54" s="22" t="str">
        <x:v>High</x:v>
      </x:c>
      <x:c r="J54" s="22" t="str"/>
      <x:c r="K54" s="52" t="str"/>
      <x:c r="L54" s="22" t="str"/>
      <x:c r="M54" s="22" t="str"/>
      <x:c r="N54" s="22" t="str"/>
    </x:row>
    <x:row r="55">
      <x:c r="A55" s="22" t="str">
        <x:v>WG-F054</x:v>
      </x:c>
      <x:c r="B55" s="22" t="str">
        <x:v>Notifications</x:v>
      </x:c>
      <x:c r="C55" s="22" t="str">
        <x:v>Customer</x:v>
      </x:c>
      <x:c r="D55" s="22" t="str">
        <x:v>Voucher redeemed notification</x:v>
      </x:c>
      <x:c r="E55" s="22" t="str">
        <x:v>Voucher redemption sends “Voucher redeemed” notification</x:v>
      </x:c>
      <x:c r="F55" s="22" t="str">
        <x:v>NotificationService</x:v>
      </x:c>
      <x:c r="G55" s="22" t="str">
        <x:v>Not Tested</x:v>
      </x:c>
      <x:c r="H55" s="22" t="str">
        <x:v>☐</x:v>
      </x:c>
      <x:c r="I55" s="22" t="str">
        <x:v>Medium</x:v>
      </x:c>
      <x:c r="J55" s="22" t="str"/>
      <x:c r="K55" s="52" t="str"/>
      <x:c r="L55" s="22" t="str"/>
      <x:c r="M55" s="22" t="str"/>
      <x:c r="N55" s="22" t="str"/>
    </x:row>
    <x:row r="56">
      <x:c r="A56" s="22" t="str">
        <x:v>WG-F055</x:v>
      </x:c>
      <x:c r="B56" s="22" t="str">
        <x:v>Notifications</x:v>
      </x:c>
      <x:c r="C56" s="22" t="str">
        <x:v>All</x:v>
      </x:c>
      <x:c r="D56" s="22" t="str">
        <x:v>In-app notification list</x:v>
      </x:c>
      <x:c r="E56" s="22" t="str">
        <x:v>Authenticated user can list notifications</x:v>
      </x:c>
      <x:c r="F56" s="22" t="str">
        <x:v>/api/notifications</x:v>
      </x:c>
      <x:c r="G56" s="22" t="str">
        <x:v>Not Tested</x:v>
      </x:c>
      <x:c r="H56" s="22" t="str">
        <x:v>☐</x:v>
      </x:c>
      <x:c r="I56" s="22" t="str">
        <x:v>Medium</x:v>
      </x:c>
      <x:c r="J56" s="22" t="str"/>
      <x:c r="K56" s="52" t="str"/>
      <x:c r="L56" s="22" t="str"/>
      <x:c r="M56" s="22" t="str"/>
      <x:c r="N56" s="22" t="str"/>
    </x:row>
    <x:row r="57">
      <x:c r="A57" s="22" t="str">
        <x:v>WG-F056</x:v>
      </x:c>
      <x:c r="B57" s="22" t="str">
        <x:v>Notifications</x:v>
      </x:c>
      <x:c r="C57" s="22" t="str">
        <x:v>All</x:v>
      </x:c>
      <x:c r="D57" s="22" t="str">
        <x:v>Web Push subscription</x:v>
      </x:c>
      <x:c r="E57" s="22" t="str">
        <x:v>User can register/update push subscription</x:v>
      </x:c>
      <x:c r="F57" s="22" t="str">
        <x:v>PushSubscription</x:v>
      </x:c>
      <x:c r="G57" s="22" t="str">
        <x:v>Not Tested</x:v>
      </x:c>
      <x:c r="H57" s="22" t="str">
        <x:v>☐</x:v>
      </x:c>
      <x:c r="I57" s="22" t="str">
        <x:v>Low</x:v>
      </x:c>
      <x:c r="J57" s="22" t="str"/>
      <x:c r="K57" s="52" t="str"/>
      <x:c r="L57" s="22" t="str"/>
      <x:c r="M57" s="22" t="str"/>
      <x:c r="N57" s="22" t="str"/>
    </x:row>
    <x:row r="58">
      <x:c r="A58" s="22" t="str">
        <x:v>WG-F057</x:v>
      </x:c>
      <x:c r="B58" s="22" t="str">
        <x:v>Admin</x:v>
      </x:c>
      <x:c r="C58" s="22" t="str">
        <x:v>Admin</x:v>
      </x:c>
      <x:c r="D58" s="22" t="str">
        <x:v>Manage users</x:v>
      </x:c>
      <x:c r="E58" s="22" t="str">
        <x:v>Admin can list/update/manage users and roles safely</x:v>
      </x:c>
      <x:c r="F58" s="22" t="str">
        <x:v>/api/admin/users</x:v>
      </x:c>
      <x:c r="G58" s="22" t="str">
        <x:v>Not Tested</x:v>
      </x:c>
      <x:c r="H58" s="22" t="str">
        <x:v>☐</x:v>
      </x:c>
      <x:c r="I58" s="22" t="str">
        <x:v>Critical</x:v>
      </x:c>
      <x:c r="J58" s="22" t="str"/>
      <x:c r="K58" s="52" t="str"/>
      <x:c r="L58" s="22" t="str"/>
      <x:c r="M58" s="22" t="str"/>
      <x:c r="N58" s="22" t="str"/>
    </x:row>
    <x:row r="59">
      <x:c r="A59" s="22" t="str">
        <x:v>WG-F058</x:v>
      </x:c>
      <x:c r="B59" s="22" t="str">
        <x:v>Admin</x:v>
      </x:c>
      <x:c r="C59" s="22" t="str">
        <x:v>Admin</x:v>
      </x:c>
      <x:c r="D59" s="22" t="str">
        <x:v>Manage collection locations</x:v>
      </x:c>
      <x:c r="E59" s="22" t="str">
        <x:v>Admin can create/update/delete collection/dropoff locations</x:v>
      </x:c>
      <x:c r="F59" s="22" t="str">
        <x:v>/api/admin/locations</x:v>
      </x:c>
      <x:c r="G59" s="22" t="str">
        <x:v>Not Tested</x:v>
      </x:c>
      <x:c r="H59" s="22" t="str">
        <x:v>☐</x:v>
      </x:c>
      <x:c r="I59" s="22" t="str">
        <x:v>High</x:v>
      </x:c>
      <x:c r="J59" s="22" t="str"/>
      <x:c r="K59" s="52" t="str"/>
      <x:c r="L59" s="22" t="str"/>
      <x:c r="M59" s="22" t="str"/>
      <x:c r="N59" s="22" t="str"/>
    </x:row>
    <x:row r="60">
      <x:c r="A60" s="22" t="str">
        <x:v>WG-F059</x:v>
      </x:c>
      <x:c r="B60" s="22" t="str">
        <x:v>Frontend Routing</x:v>
      </x:c>
      <x:c r="C60" s="22" t="str">
        <x:v>All</x:v>
      </x:c>
      <x:c r="D60" s="22" t="str">
        <x:v>Role-based navigation</x:v>
      </x:c>
      <x:c r="E60" s="22" t="str">
        <x:v>Frontend routes show correct pages based on customer/admin/collector role</x:v>
      </x:c>
      <x:c r="F60" s="22" t="str">
        <x:v>apps/frontend/src/app/app.routes.ts</x:v>
      </x:c>
      <x:c r="G60" s="22" t="str">
        <x:v>Not Tested</x:v>
      </x:c>
      <x:c r="H60" s="22" t="str">
        <x:v>☐</x:v>
      </x:c>
      <x:c r="I60" s="22" t="str">
        <x:v>Critical</x:v>
      </x:c>
      <x:c r="J60" s="22" t="str"/>
      <x:c r="K60" s="52" t="str"/>
      <x:c r="L60" s="22" t="str"/>
      <x:c r="M60" s="22" t="str"/>
      <x:c r="N60" s="22" t="str"/>
    </x:row>
    <x:row r="61">
      <x:c r="A61" s="22" t="str">
        <x:v>WG-F060</x:v>
      </x:c>
      <x:c r="B61" s="22" t="str">
        <x:v>Frontend Routing</x:v>
      </x:c>
      <x:c r="C61" s="22" t="str">
        <x:v>All</x:v>
      </x:c>
      <x:c r="D61" s="22" t="str">
        <x:v>Home/login/register/profile/settings pages</x:v>
      </x:c>
      <x:c r="E61" s="22" t="str">
        <x:v>Top-level pages render without auth/routing errors</x:v>
      </x:c>
      <x:c r="F61" s="22" t="str">
        <x:v>Angular frontend</x:v>
      </x:c>
      <x:c r="G61" s="22" t="str">
        <x:v>Not Tested</x:v>
      </x:c>
      <x:c r="H61" s="22" t="str">
        <x:v>☐</x:v>
      </x:c>
      <x:c r="I61" s="22" t="str">
        <x:v>High</x:v>
      </x:c>
      <x:c r="J61" s="22" t="str"/>
      <x:c r="K61" s="52" t="str"/>
      <x:c r="L61" s="22" t="str"/>
      <x:c r="M61" s="22" t="str"/>
      <x:c r="N61" s="22" t="str"/>
    </x:row>
    <x:row r="62">
      <x:c r="A62" s="56" t="str">
        <x:v>WG-F061</x:v>
      </x:c>
      <x:c r="B62" s="56" t="str">
        <x:v>Onboarding</x:v>
      </x:c>
      <x:c r="C62" s="56" t="str">
        <x:v>Collector</x:v>
      </x:c>
      <x:c r="D62" s="56" t="str">
        <x:v>Collector location permission onboarding</x:v>
      </x:c>
      <x:c r="E62" s="56" t="str">
        <x:v>Collector onboarding asks for browser location permission before route-fit features depend on location</x:v>
      </x:c>
      <x:c r="F62" s="56" t="str">
        <x:v>Collector onboarding / browser geolocation</x:v>
      </x:c>
      <x:c r="G62" s="56" t="str">
        <x:v>Not Tested</x:v>
      </x:c>
      <x:c r="H62" s="56" t="str">
        <x:v>☐</x:v>
      </x:c>
      <x:c r="I62" s="56" t="str">
        <x:v>Critical</x:v>
      </x:c>
      <x:c r="J62" s="56"/>
      <x:c r="K62" s="57"/>
      <x:c r="L62" s="56"/>
      <x:c r="M62" s="56" t="str">
        <x:v>New collector route-planning dependency</x:v>
      </x:c>
      <x:c r="N62" s="56"/>
    </x:row>
    <x:row r="63">
      <x:c r="A63" s="56" t="str">
        <x:v>WG-F062</x:v>
      </x:c>
      <x:c r="B63" s="56" t="str">
        <x:v>Onboarding</x:v>
      </x:c>
      <x:c r="C63" s="56" t="str">
        <x:v>Admin</x:v>
      </x:c>
      <x:c r="D63" s="56" t="str">
        <x:v>Admin welcome onboarding flow</x:v>
      </x:c>
      <x:c r="E63" s="56" t="str">
        <x:v>Admin sees and can complete the welcome/onboarding flow without blocking admin pages</x:v>
      </x:c>
      <x:c r="F63" s="56" t="str">
        <x:v>Admin onboarding / dashboard</x:v>
      </x:c>
      <x:c r="G63" s="56" t="str">
        <x:v>Not Tested</x:v>
      </x:c>
      <x:c r="H63" s="56" t="str">
        <x:v>☐</x:v>
      </x:c>
      <x:c r="I63" s="56" t="str">
        <x:v>Medium</x:v>
      </x:c>
      <x:c r="J63" s="56"/>
      <x:c r="K63" s="57"/>
      <x:c r="L63" s="56"/>
      <x:c r="M63" s="56" t="str">
        <x:v>New admin onboarding coverage</x:v>
      </x:c>
      <x:c r="N63" s="56"/>
    </x:row>
    <x:row r="64">
      <x:c r="A64" s="56" t="str">
        <x:v>WG-F063</x:v>
      </x:c>
      <x:c r="B64" s="56" t="str">
        <x:v>Pickup Detail</x:v>
      </x:c>
      <x:c r="C64" s="56" t="str">
        <x:v>All</x:v>
      </x:c>
      <x:c r="D64" s="56" t="str">
        <x:v>Shared pickup slug detail page</x:v>
      </x:c>
      <x:c r="E64" s="56" t="str">
        <x:v>Customer, admin, and collector slug pickup detail routes reuse the shared detail behavior safely</x:v>
      </x:c>
      <x:c r="F64" s="56" t="str">
        <x:v>Customer/Admin/Collector pickup slug routes</x:v>
      </x:c>
      <x:c r="G64" s="56" t="str">
        <x:v>Not Tested</x:v>
      </x:c>
      <x:c r="H64" s="56" t="str">
        <x:v>☐</x:v>
      </x:c>
      <x:c r="I64" s="56" t="str">
        <x:v>High</x:v>
      </x:c>
      <x:c r="J64" s="56"/>
      <x:c r="K64" s="57"/>
      <x:c r="L64" s="56"/>
      <x:c r="M64" s="56" t="str">
        <x:v>Check role-specific actions/visibility</x:v>
      </x:c>
      <x:c r="N64" s="56"/>
    </x:row>
    <x:row r="65">
      <x:c r="A65" s="56" t="str">
        <x:v>WG-F064</x:v>
      </x:c>
      <x:c r="B65" s="56" t="str">
        <x:v>Pickup Detail</x:v>
      </x:c>
      <x:c r="C65" s="56" t="str">
        <x:v>All</x:v>
      </x:c>
      <x:c r="D65" s="56" t="str">
        <x:v>Pickup timeline tracker</x:v>
      </x:c>
      <x:c r="E65" s="56" t="str">
        <x:v>Pickup detail shows correct status timeline from PENDING through COMPLETED/CANCELLED</x:v>
      </x:c>
      <x:c r="F65" s="56" t="str">
        <x:v>Pickup detail timeline component</x:v>
      </x:c>
      <x:c r="G65" s="56" t="str">
        <x:v>Not Tested</x:v>
      </x:c>
      <x:c r="H65" s="56" t="str">
        <x:v>☐</x:v>
      </x:c>
      <x:c r="I65" s="56" t="str">
        <x:v>High</x:v>
      </x:c>
      <x:c r="J65" s="56"/>
      <x:c r="K65" s="57"/>
      <x:c r="L65" s="56"/>
      <x:c r="M65" s="56" t="str">
        <x:v>New UI tracker coverage</x:v>
      </x:c>
      <x:c r="N65" s="56"/>
    </x:row>
    <x:row r="66">
      <x:c r="A66" s="56" t="str">
        <x:v>WG-F065</x:v>
      </x:c>
      <x:c r="B66" s="56" t="str">
        <x:v>Pickup</x:v>
      </x:c>
      <x:c r="C66" s="56" t="str">
        <x:v>Customer</x:v>
      </x:c>
      <x:c r="D66" s="56" t="str">
        <x:v>Cancel blocked after arrived</x:v>
      </x:c>
      <x:c r="E66" s="56" t="str">
        <x:v>Customer cannot cancel once pickup status is ARRIVED or later</x:v>
      </x:c>
      <x:c r="F66" s="56" t="str">
        <x:v>Customer pickup detail cancel action</x:v>
      </x:c>
      <x:c r="G66" s="56" t="str">
        <x:v>Not Tested</x:v>
      </x:c>
      <x:c r="H66" s="56" t="str">
        <x:v>☐</x:v>
      </x:c>
      <x:c r="I66" s="56" t="str">
        <x:v>Critical</x:v>
      </x:c>
      <x:c r="J66" s="56"/>
      <x:c r="K66" s="57"/>
      <x:c r="L66" s="56"/>
      <x:c r="M66" s="56" t="str">
        <x:v>Add UI hidden/disabled and backend guard test</x:v>
      </x:c>
      <x:c r="N66" s="56"/>
    </x:row>
    <x:row r="67">
      <x:c r="A67" s="56" t="str">
        <x:v>WG-F066</x:v>
      </x:c>
      <x:c r="B67" s="56" t="str">
        <x:v>Pickup Verification</x:v>
      </x:c>
      <x:c r="C67" s="56" t="str">
        <x:v>Customer/Collector</x:v>
      </x:c>
      <x:c r="D67" s="56" t="str">
        <x:v>Estimate vs verified comparison</x:v>
      </x:c>
      <x:c r="E67" s="56" t="str">
        <x:v>Pickup detail compares customer/AI estimate source with collector verified category/weight/points</x:v>
      </x:c>
      <x:c r="F67" s="56" t="str">
        <x:v>Pickup items detail / verification data</x:v>
      </x:c>
      <x:c r="G67" s="56" t="str">
        <x:v>Not Tested</x:v>
      </x:c>
      <x:c r="H67" s="56" t="str">
        <x:v>☐</x:v>
      </x:c>
      <x:c r="I67" s="56" t="str">
        <x:v>Critical</x:v>
      </x:c>
      <x:c r="J67" s="56"/>
      <x:c r="K67" s="57"/>
      <x:c r="L67" s="56"/>
      <x:c r="M67" s="56" t="str">
        <x:v>Important for rewards correctness</x:v>
      </x:c>
      <x:c r="N67" s="56"/>
    </x:row>
    <x:row r="68">
      <x:c r="A68" s="56" t="str">
        <x:v>WG-F067</x:v>
      </x:c>
      <x:c r="B68" s="56" t="str">
        <x:v>Collector Routing</x:v>
      </x:c>
      <x:c r="C68" s="56" t="str">
        <x:v>Collector</x:v>
      </x:c>
      <x:c r="D68" s="56" t="str">
        <x:v>Available pickups route-fit sorting</x:v>
      </x:c>
      <x:c r="E68" s="56" t="str">
        <x:v>Collector available pickups are sorted by dynamic route fit using current stops and location</x:v>
      </x:c>
      <x:c r="F68" s="56" t="str">
        <x:v>Collector available pickups route planning</x:v>
      </x:c>
      <x:c r="G68" s="56" t="str">
        <x:v>Not Tested</x:v>
      </x:c>
      <x:c r="H68" s="56" t="str">
        <x:v>☐</x:v>
      </x:c>
      <x:c r="I68" s="56" t="str">
        <x:v>Critical</x:v>
      </x:c>
      <x:c r="J68" s="56"/>
      <x:c r="K68" s="57"/>
      <x:c r="L68" s="56"/>
      <x:c r="M68" s="56" t="str">
        <x:v>New collector route-planning work</x:v>
      </x:c>
      <x:c r="N68" s="56"/>
    </x:row>
    <x:row r="69">
      <x:c r="A69" s="56" t="str">
        <x:v>WG-F068</x:v>
      </x:c>
      <x:c r="B69" s="56" t="str">
        <x:v>Collector Routing</x:v>
      </x:c>
      <x:c r="C69" s="56" t="str">
        <x:v>Collector</x:v>
      </x:c>
      <x:c r="D69" s="56" t="str">
        <x:v>Route-fit labels</x:v>
      </x:c>
      <x:c r="E69" s="56" t="str">
        <x:v>Available pickups show correct labels: Nearest collector, Nearest stop A/B/C, and Off route</x:v>
      </x:c>
      <x:c r="F69" s="56" t="str">
        <x:v>Collector route labels</x:v>
      </x:c>
      <x:c r="G69" s="56" t="str">
        <x:v>Not Tested</x:v>
      </x:c>
      <x:c r="H69" s="56" t="str">
        <x:v>☐</x:v>
      </x:c>
      <x:c r="I69" s="56" t="str">
        <x:v>High</x:v>
      </x:c>
      <x:c r="J69" s="56"/>
      <x:c r="K69" s="57"/>
      <x:c r="L69" s="56"/>
      <x:c r="M69" s="56" t="str">
        <x:v>Label accuracy depends on route calculation</x:v>
      </x:c>
      <x:c r="N69" s="56"/>
    </x:row>
    <x:row r="70">
      <x:c r="A70" s="56" t="str">
        <x:v>WG-F069</x:v>
      </x:c>
      <x:c r="B70" s="56" t="str">
        <x:v>Collector Routing</x:v>
      </x:c>
      <x:c r="C70" s="56" t="str">
        <x:v>Collector</x:v>
      </x:c>
      <x:c r="D70" s="56" t="str">
        <x:v>Multiple accepted pickups</x:v>
      </x:c>
      <x:c r="E70" s="56" t="str">
        <x:v>Collector can accept and manage multiple active pickups as a multi-stop route</x:v>
      </x:c>
      <x:c r="F70" s="56" t="str">
        <x:v>Collector my pickups / accepted stops</x:v>
      </x:c>
      <x:c r="G70" s="56" t="str">
        <x:v>Not Tested</x:v>
      </x:c>
      <x:c r="H70" s="56" t="str">
        <x:v>☐</x:v>
      </x:c>
      <x:c r="I70" s="56" t="str">
        <x:v>Critical</x:v>
      </x:c>
      <x:c r="J70" s="56"/>
      <x:c r="K70" s="57"/>
      <x:c r="L70" s="56"/>
      <x:c r="M70" s="56" t="str">
        <x:v>New multi-stop behavior</x:v>
      </x:c>
      <x:c r="N70" s="56"/>
    </x:row>
    <x:row r="71">
      <x:c r="A71" s="56" t="str">
        <x:v>WG-F070</x:v>
      </x:c>
      <x:c r="B71" s="56" t="str">
        <x:v>Collector Routing</x:v>
      </x:c>
      <x:c r="C71" s="56" t="str">
        <x:v>Collector</x:v>
      </x:c>
      <x:c r="D71" s="56" t="str">
        <x:v>My Pickups multi-stop route map</x:v>
      </x:c>
      <x:c r="E71" s="56" t="str">
        <x:v>Collector My Pickups shows all accepted stops on one route map without marker drift</x:v>
      </x:c>
      <x:c r="F71" s="56" t="str">
        <x:v>Collector My Pickups route map</x:v>
      </x:c>
      <x:c r="G71" s="56" t="str">
        <x:v>Not Tested</x:v>
      </x:c>
      <x:c r="H71" s="56" t="str">
        <x:v>☐</x:v>
      </x:c>
      <x:c r="I71" s="56" t="str">
        <x:v>Critical</x:v>
      </x:c>
      <x:c r="J71" s="56"/>
      <x:c r="K71" s="57"/>
      <x:c r="L71" s="56"/>
      <x:c r="M71" s="56" t="str">
        <x:v>Map rendering and ordering coverage</x:v>
      </x:c>
      <x:c r="N71" s="56"/>
    </x:row>
    <x:row r="72">
      <x:c r="A72" s="56" t="str">
        <x:v>WG-F071</x:v>
      </x:c>
      <x:c r="B72" s="56" t="str">
        <x:v>Collector Routing</x:v>
      </x:c>
      <x:c r="C72" s="56" t="str">
        <x:v>Collector</x:v>
      </x:c>
      <x:c r="D72" s="56" t="str">
        <x:v>Accept pickup route preview dialog</x:v>
      </x:c>
      <x:c r="E72" s="56" t="str">
        <x:v>Before accepting, dialog previews current stops plus the new pickup and final route impact</x:v>
      </x:c>
      <x:c r="F72" s="56" t="str">
        <x:v>Accept pickup dialog / route preview</x:v>
      </x:c>
      <x:c r="G72" s="56" t="str">
        <x:v>Not Tested</x:v>
      </x:c>
      <x:c r="H72" s="56" t="str">
        <x:v>☐</x:v>
      </x:c>
      <x:c r="I72" s="56" t="str">
        <x:v>Critical</x:v>
      </x:c>
      <x:c r="J72" s="56"/>
      <x:c r="K72" s="57"/>
      <x:c r="L72" s="56"/>
      <x:c r="M72" s="56" t="str">
        <x:v>Must test before confirm</x:v>
      </x:c>
      <x:c r="N72" s="56"/>
    </x:row>
    <x:row r="73">
      <x:c r="A73" s="56" t="str">
        <x:v>WG-F072</x:v>
      </x:c>
      <x:c r="B73" s="56" t="str">
        <x:v>Maps</x:v>
      </x:c>
      <x:c r="C73" s="56" t="str">
        <x:v>Collector</x:v>
      </x:c>
      <x:c r="D73" s="56" t="str">
        <x:v>MapLibre/OSRM route map component</x:v>
      </x:c>
      <x:c r="E73" s="56" t="str">
        <x:v>MapLibre/OSRM component renders route and stops correctly instead of embedded Google Maps</x:v>
      </x:c>
      <x:c r="F73" s="56" t="str">
        <x:v>MapLibre + OSRM route map component</x:v>
      </x:c>
      <x:c r="G73" s="56" t="str">
        <x:v>Not Tested</x:v>
      </x:c>
      <x:c r="H73" s="56" t="str">
        <x:v>☐</x:v>
      </x:c>
      <x:c r="I73" s="56" t="str">
        <x:v>High</x:v>
      </x:c>
      <x:c r="J73" s="56"/>
      <x:c r="K73" s="57"/>
      <x:c r="L73" s="56"/>
      <x:c r="M73" s="56" t="str">
        <x:v>Replacement map implementation</x:v>
      </x:c>
      <x:c r="N73" s="56"/>
    </x:row>
    <x:row r="74">
      <x:c r="A74" s="56" t="str">
        <x:v>WG-F073</x:v>
      </x:c>
      <x:c r="B74" s="56" t="str">
        <x:v>Collector Routing</x:v>
      </x:c>
      <x:c r="C74" s="56" t="str">
        <x:v>Collector</x:v>
      </x:c>
      <x:c r="D74" s="56" t="str">
        <x:v>Route recalculation after accepted stops</x:v>
      </x:c>
      <x:c r="E74" s="56" t="str">
        <x:v>Available pickup order recalculates after collector already has active accepted stops</x:v>
      </x:c>
      <x:c r="F74" s="56" t="str">
        <x:v>Collector available pickups sorting</x:v>
      </x:c>
      <x:c r="G74" s="56" t="str">
        <x:v>Not Tested</x:v>
      </x:c>
      <x:c r="H74" s="56" t="str">
        <x:v>☐</x:v>
      </x:c>
      <x:c r="I74" s="56" t="str">
        <x:v>Critical</x:v>
      </x:c>
      <x:c r="J74" s="56"/>
      <x:c r="K74" s="57"/>
      <x:c r="L74" s="56"/>
      <x:c r="M74" s="56" t="str">
        <x:v>Prevents stale ordering</x:v>
      </x:c>
      <x:c r="N74" s="56"/>
    </x:row>
    <x:row r="75">
      <x:c r="A75" s="56" t="str">
        <x:v>WG-F074</x:v>
      </x:c>
      <x:c r="B75" s="56" t="str">
        <x:v>Pickup Detail</x:v>
      </x:c>
      <x:c r="C75" s="56" t="str">
        <x:v>Admin/Collector</x:v>
      </x:c>
      <x:c r="D75" s="56" t="str">
        <x:v>Admin and collector slug page render</x:v>
      </x:c>
      <x:c r="E75" s="56" t="str">
        <x:v>Admin and collector pickup slug/detail pages render without route guard or resolver errors</x:v>
      </x:c>
      <x:c r="F75" s="56" t="str">
        <x:v>Admin/Collector pickup slug routes</x:v>
      </x:c>
      <x:c r="G75" s="56" t="str">
        <x:v>Not Tested</x:v>
      </x:c>
      <x:c r="H75" s="56" t="str">
        <x:v>☐</x:v>
      </x:c>
      <x:c r="I75" s="56" t="str">
        <x:v>High</x:v>
      </x:c>
      <x:c r="J75" s="56"/>
      <x:c r="K75" s="57"/>
      <x:c r="L75" s="56"/>
      <x:c r="M75" s="56" t="str">
        <x:v>New route coverage</x:v>
      </x:c>
      <x:c r="N75" s="56"/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52"/>
      <x:c r="L76" s="22"/>
      <x:c r="M76" s="22"/>
      <x:c r="N76" s="22"/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52"/>
      <x:c r="L77" s="22"/>
      <x:c r="M77" s="22"/>
      <x:c r="N77" s="22"/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52"/>
      <x:c r="L78" s="22"/>
      <x:c r="M78" s="22"/>
      <x:c r="N78" s="22"/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52"/>
      <x:c r="L79" s="22"/>
      <x:c r="M79" s="22"/>
      <x:c r="N79" s="22"/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52"/>
      <x:c r="L80" s="22"/>
      <x:c r="M80" s="22"/>
      <x:c r="N80" s="22"/>
    </x:row>
    <x:row r="8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  <x:c r="K81" s="52"/>
      <x:c r="L81" s="22"/>
      <x:c r="M81" s="22"/>
      <x:c r="N81" s="22"/>
    </x:row>
    <x:row r="82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  <x:c r="K82" s="52"/>
      <x:c r="L82" s="22"/>
      <x:c r="M82" s="22"/>
      <x:c r="N82" s="22"/>
    </x:row>
    <x:row r="83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  <x:c r="K83" s="52"/>
      <x:c r="L83" s="22"/>
      <x:c r="M83" s="22"/>
      <x:c r="N83" s="22"/>
    </x:row>
    <x:row r="84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  <x:c r="K84" s="52"/>
      <x:c r="L84" s="22"/>
      <x:c r="M84" s="22"/>
      <x:c r="N84" s="22"/>
    </x:row>
    <x:row r="85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  <x:c r="K85" s="52"/>
      <x:c r="L85" s="22"/>
      <x:c r="M85" s="22"/>
      <x:c r="N85" s="22"/>
    </x:row>
    <x:row r="86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  <x:c r="K86" s="52"/>
      <x:c r="L86" s="22"/>
      <x:c r="M86" s="22"/>
      <x:c r="N86" s="22"/>
    </x:row>
    <x:row r="87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  <x:c r="K87" s="52"/>
      <x:c r="L87" s="22"/>
      <x:c r="M87" s="22"/>
      <x:c r="N87" s="22"/>
    </x:row>
    <x:row r="88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  <x:c r="K88" s="52"/>
      <x:c r="L88" s="22"/>
      <x:c r="M88" s="22"/>
      <x:c r="N88" s="22"/>
    </x:row>
    <x:row r="89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  <x:c r="K89" s="52"/>
      <x:c r="L89" s="22"/>
      <x:c r="M89" s="22"/>
      <x:c r="N89" s="22"/>
    </x:row>
    <x:row r="90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  <x:c r="K90" s="52"/>
      <x:c r="L90" s="22"/>
      <x:c r="M90" s="22"/>
      <x:c r="N90" s="22"/>
    </x:row>
    <x:row r="9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  <x:c r="K91" s="52"/>
      <x:c r="L91" s="22"/>
      <x:c r="M91" s="22"/>
      <x:c r="N91" s="22"/>
    </x:row>
    <x:row r="92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  <x:c r="K92" s="52"/>
      <x:c r="L92" s="22"/>
      <x:c r="M92" s="22"/>
      <x:c r="N92" s="22"/>
    </x:row>
    <x:row r="93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  <x:c r="K93" s="52"/>
      <x:c r="L93" s="22"/>
      <x:c r="M93" s="22"/>
      <x:c r="N93" s="22"/>
    </x:row>
    <x:row r="94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  <x:c r="K94" s="52"/>
      <x:c r="L94" s="22"/>
      <x:c r="M94" s="22"/>
      <x:c r="N94" s="22"/>
    </x:row>
    <x:row r="95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  <x:c r="K95" s="52"/>
      <x:c r="L95" s="22"/>
      <x:c r="M95" s="22"/>
      <x:c r="N95" s="22"/>
    </x:row>
    <x:row r="96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  <x:c r="K96" s="52"/>
      <x:c r="L96" s="22"/>
      <x:c r="M96" s="22"/>
      <x:c r="N96" s="22"/>
    </x:row>
    <x:row r="97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  <x:c r="K97" s="52"/>
      <x:c r="L97" s="22"/>
      <x:c r="M97" s="22"/>
      <x:c r="N97" s="22"/>
    </x:row>
    <x:row r="98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  <x:c r="K98" s="52"/>
      <x:c r="L98" s="22"/>
      <x:c r="M98" s="22"/>
      <x:c r="N98" s="22"/>
    </x:row>
    <x:row r="99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  <x:c r="K99" s="52"/>
      <x:c r="L99" s="22"/>
      <x:c r="M99" s="22"/>
      <x:c r="N99" s="22"/>
    </x:row>
    <x:row r="100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  <x:c r="K100" s="52"/>
      <x:c r="L100" s="22"/>
      <x:c r="M100" s="22"/>
      <x:c r="N100" s="22"/>
    </x:row>
    <x:row r="10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52"/>
      <x:c r="L101" s="22"/>
      <x:c r="M101" s="22"/>
      <x:c r="N101" s="22"/>
    </x:row>
    <x:row r="102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  <x:c r="K102" s="52"/>
      <x:c r="L102" s="22"/>
      <x:c r="M102" s="22"/>
      <x:c r="N102" s="22"/>
    </x:row>
    <x:row r="103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  <x:c r="K103" s="52"/>
      <x:c r="L103" s="22"/>
      <x:c r="M103" s="22"/>
      <x:c r="N103" s="22"/>
    </x:row>
    <x:row r="104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  <x:c r="K104" s="52"/>
      <x:c r="L104" s="22"/>
      <x:c r="M104" s="22"/>
      <x:c r="N104" s="22"/>
    </x:row>
    <x:row r="105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  <x:c r="K105" s="52"/>
      <x:c r="L105" s="22"/>
      <x:c r="M105" s="22"/>
      <x:c r="N105" s="22"/>
    </x:row>
    <x:row r="106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  <x:c r="K106" s="52"/>
      <x:c r="L106" s="22"/>
      <x:c r="M106" s="22"/>
      <x:c r="N106" s="22"/>
    </x:row>
    <x:row r="107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  <x:c r="K107" s="52"/>
      <x:c r="L107" s="22"/>
      <x:c r="M107" s="22"/>
      <x:c r="N107" s="22"/>
    </x:row>
    <x:row r="108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  <x:c r="K108" s="52"/>
      <x:c r="L108" s="22"/>
      <x:c r="M108" s="22"/>
      <x:c r="N108" s="22"/>
    </x:row>
    <x:row r="109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  <x:c r="K109" s="52"/>
      <x:c r="L109" s="22"/>
      <x:c r="M109" s="22"/>
      <x:c r="N109" s="22"/>
    </x:row>
    <x:row r="110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  <x:c r="K110" s="52"/>
      <x:c r="L110" s="22"/>
      <x:c r="M110" s="22"/>
      <x:c r="N110" s="22"/>
    </x:row>
    <x:row r="11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  <x:c r="K111" s="52"/>
      <x:c r="L111" s="22"/>
      <x:c r="M111" s="22"/>
      <x:c r="N111" s="22"/>
    </x:row>
    <x:row r="112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  <x:c r="K112" s="52"/>
      <x:c r="L112" s="22"/>
      <x:c r="M112" s="22"/>
      <x:c r="N112" s="22"/>
    </x:row>
    <x:row r="113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  <x:c r="K113" s="52"/>
      <x:c r="L113" s="22"/>
      <x:c r="M113" s="22"/>
      <x:c r="N113" s="22"/>
    </x:row>
    <x:row r="114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  <x:c r="K114" s="52"/>
      <x:c r="L114" s="22"/>
      <x:c r="M114" s="22"/>
      <x:c r="N114" s="22"/>
    </x:row>
    <x:row r="115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  <x:c r="K115" s="52"/>
      <x:c r="L115" s="22"/>
      <x:c r="M115" s="22"/>
      <x:c r="N115" s="22"/>
    </x:row>
    <x:row r="116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  <x:c r="K116" s="52"/>
      <x:c r="L116" s="22"/>
      <x:c r="M116" s="22"/>
      <x:c r="N116" s="22"/>
    </x:row>
    <x:row r="117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  <x:c r="K117" s="52"/>
      <x:c r="L117" s="22"/>
      <x:c r="M117" s="22"/>
      <x:c r="N117" s="22"/>
    </x:row>
    <x:row r="118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  <x:c r="K118" s="52"/>
      <x:c r="L118" s="22"/>
      <x:c r="M118" s="22"/>
      <x:c r="N118" s="22"/>
    </x:row>
    <x:row r="119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  <x:c r="K119" s="52"/>
      <x:c r="L119" s="22"/>
      <x:c r="M119" s="22"/>
      <x:c r="N119" s="22"/>
    </x:row>
    <x:row r="120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52"/>
      <x:c r="L120" s="22"/>
      <x:c r="M120" s="22"/>
      <x:c r="N120" s="22"/>
    </x:row>
    <x:row r="12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  <x:c r="K121" s="52"/>
      <x:c r="L121" s="22"/>
      <x:c r="M121" s="22"/>
      <x:c r="N121" s="22"/>
    </x:row>
    <x:row r="122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  <x:c r="K122" s="52"/>
      <x:c r="L122" s="22"/>
      <x:c r="M122" s="22"/>
      <x:c r="N122" s="22"/>
    </x:row>
    <x:row r="123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  <x:c r="K123" s="52"/>
      <x:c r="L123" s="22"/>
      <x:c r="M123" s="22"/>
      <x:c r="N123" s="22"/>
    </x:row>
    <x:row r="124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  <x:c r="K124" s="52"/>
      <x:c r="L124" s="22"/>
      <x:c r="M124" s="22"/>
      <x:c r="N124" s="22"/>
    </x:row>
    <x:row r="125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  <x:c r="K125" s="52"/>
      <x:c r="L125" s="22"/>
      <x:c r="M125" s="22"/>
      <x:c r="N125" s="22"/>
    </x:row>
    <x:row r="126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  <x:c r="K126" s="52"/>
      <x:c r="L126" s="22"/>
      <x:c r="M126" s="22"/>
      <x:c r="N126" s="22"/>
    </x:row>
    <x:row r="127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  <x:c r="K127" s="52"/>
      <x:c r="L127" s="22"/>
      <x:c r="M127" s="22"/>
      <x:c r="N127" s="22"/>
    </x:row>
    <x:row r="128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  <x:c r="K128" s="52"/>
      <x:c r="L128" s="22"/>
      <x:c r="M128" s="22"/>
      <x:c r="N128" s="22"/>
    </x:row>
    <x:row r="129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  <x:c r="K129" s="52"/>
      <x:c r="L129" s="22"/>
      <x:c r="M129" s="22"/>
      <x:c r="N129" s="22"/>
    </x:row>
    <x:row r="130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  <x:c r="K130" s="52"/>
      <x:c r="L130" s="22"/>
      <x:c r="M130" s="22"/>
      <x:c r="N130" s="22"/>
    </x:row>
    <x:row r="13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  <x:c r="K131" s="52"/>
      <x:c r="L131" s="22"/>
      <x:c r="M131" s="22"/>
      <x:c r="N131" s="22"/>
    </x:row>
    <x:row r="132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  <x:c r="K132" s="52"/>
      <x:c r="L132" s="22"/>
      <x:c r="M132" s="22"/>
      <x:c r="N132" s="22"/>
    </x:row>
    <x:row r="133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52"/>
      <x:c r="L133" s="22"/>
      <x:c r="M133" s="22"/>
      <x:c r="N133" s="22"/>
    </x:row>
    <x:row r="134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  <x:c r="K134" s="52"/>
      <x:c r="L134" s="22"/>
      <x:c r="M134" s="22"/>
      <x:c r="N134" s="22"/>
    </x:row>
    <x:row r="135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  <x:c r="K135" s="52"/>
      <x:c r="L135" s="22"/>
      <x:c r="M135" s="22"/>
      <x:c r="N135" s="22"/>
    </x:row>
    <x:row r="136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  <x:c r="K136" s="52"/>
      <x:c r="L136" s="22"/>
      <x:c r="M136" s="22"/>
      <x:c r="N136" s="22"/>
    </x:row>
    <x:row r="137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  <x:c r="K137" s="52"/>
      <x:c r="L137" s="22"/>
      <x:c r="M137" s="22"/>
      <x:c r="N137" s="22"/>
    </x:row>
    <x:row r="138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  <x:c r="K138" s="52"/>
      <x:c r="L138" s="22"/>
      <x:c r="M138" s="22"/>
      <x:c r="N138" s="22"/>
    </x:row>
    <x:row r="139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  <x:c r="K139" s="52"/>
      <x:c r="L139" s="22"/>
      <x:c r="M139" s="22"/>
      <x:c r="N139" s="22"/>
    </x:row>
    <x:row r="140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  <x:c r="K140" s="52"/>
      <x:c r="L140" s="22"/>
      <x:c r="M140" s="22"/>
      <x:c r="N140" s="22"/>
    </x:row>
    <x:row r="14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  <x:c r="K141" s="52"/>
      <x:c r="L141" s="22"/>
      <x:c r="M141" s="22"/>
      <x:c r="N141" s="22"/>
    </x:row>
    <x:row r="142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  <x:c r="K142" s="52"/>
      <x:c r="L142" s="22"/>
      <x:c r="M142" s="22"/>
      <x:c r="N142" s="22"/>
    </x:row>
    <x:row r="143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  <x:c r="K143" s="52"/>
      <x:c r="L143" s="22"/>
      <x:c r="M143" s="22"/>
      <x:c r="N143" s="22"/>
    </x:row>
    <x:row r="144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  <x:c r="K144" s="52"/>
      <x:c r="L144" s="22"/>
      <x:c r="M144" s="22"/>
      <x:c r="N144" s="22"/>
    </x:row>
    <x:row r="145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  <x:c r="K145" s="52"/>
      <x:c r="L145" s="22"/>
      <x:c r="M145" s="22"/>
      <x:c r="N145" s="22"/>
    </x:row>
    <x:row r="146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  <x:c r="K146" s="52"/>
      <x:c r="L146" s="22"/>
      <x:c r="M146" s="22"/>
      <x:c r="N146" s="22"/>
    </x:row>
    <x:row r="147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  <x:c r="K147" s="52"/>
      <x:c r="L147" s="22"/>
      <x:c r="M147" s="22"/>
      <x:c r="N147" s="22"/>
    </x:row>
    <x:row r="148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  <x:c r="K148" s="52"/>
      <x:c r="L148" s="22"/>
      <x:c r="M148" s="22"/>
      <x:c r="N148" s="22"/>
    </x:row>
    <x:row r="149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  <x:c r="K149" s="52"/>
      <x:c r="L149" s="22"/>
      <x:c r="M149" s="22"/>
      <x:c r="N149" s="22"/>
    </x:row>
    <x:row r="150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  <x:c r="K150" s="52"/>
      <x:c r="L150" s="22"/>
      <x:c r="M150" s="22"/>
      <x:c r="N150" s="22"/>
    </x:row>
    <x:row r="15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  <x:c r="K151" s="52"/>
      <x:c r="L151" s="22"/>
      <x:c r="M151" s="22"/>
      <x:c r="N151" s="22"/>
    </x:row>
    <x:row r="152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  <x:c r="K152" s="52"/>
      <x:c r="L152" s="22"/>
      <x:c r="M152" s="22"/>
      <x:c r="N152" s="22"/>
    </x:row>
    <x:row r="153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  <x:c r="K153" s="52"/>
      <x:c r="L153" s="22"/>
      <x:c r="M153" s="22"/>
      <x:c r="N153" s="22"/>
    </x:row>
    <x:row r="154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  <x:c r="K154" s="52"/>
      <x:c r="L154" s="22"/>
      <x:c r="M154" s="22"/>
      <x:c r="N154" s="22"/>
    </x:row>
    <x:row r="155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  <x:c r="K155" s="52"/>
      <x:c r="L155" s="22"/>
      <x:c r="M155" s="22"/>
      <x:c r="N155" s="22"/>
    </x:row>
    <x:row r="156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  <x:c r="K156" s="52"/>
      <x:c r="L156" s="22"/>
      <x:c r="M156" s="22"/>
      <x:c r="N156" s="22"/>
    </x:row>
    <x:row r="157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  <x:c r="K157" s="52"/>
      <x:c r="L157" s="22"/>
      <x:c r="M157" s="22"/>
      <x:c r="N157" s="22"/>
    </x:row>
    <x:row r="158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  <x:c r="K158" s="52"/>
      <x:c r="L158" s="22"/>
      <x:c r="M158" s="22"/>
      <x:c r="N158" s="22"/>
    </x:row>
    <x:row r="159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  <x:c r="K159" s="52"/>
      <x:c r="L159" s="22"/>
      <x:c r="M159" s="22"/>
      <x:c r="N159" s="22"/>
    </x:row>
    <x:row r="160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  <x:c r="K160" s="52"/>
      <x:c r="L160" s="22"/>
      <x:c r="M160" s="22"/>
      <x:c r="N160" s="22"/>
    </x:row>
    <x:row r="16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  <x:c r="K161" s="52"/>
      <x:c r="L161" s="22"/>
      <x:c r="M161" s="22"/>
      <x:c r="N161" s="22"/>
    </x:row>
    <x:row r="162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  <x:c r="K162" s="52"/>
      <x:c r="L162" s="22"/>
      <x:c r="M162" s="22"/>
      <x:c r="N162" s="22"/>
    </x:row>
    <x:row r="163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  <x:c r="K163" s="52"/>
      <x:c r="L163" s="22"/>
      <x:c r="M163" s="22"/>
      <x:c r="N163" s="22"/>
    </x:row>
    <x:row r="164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  <x:c r="K164" s="52"/>
      <x:c r="L164" s="22"/>
      <x:c r="M164" s="22"/>
      <x:c r="N164" s="22"/>
    </x:row>
    <x:row r="165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  <x:c r="K165" s="52"/>
      <x:c r="L165" s="22"/>
      <x:c r="M165" s="22"/>
      <x:c r="N165" s="22"/>
    </x:row>
    <x:row r="166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  <x:c r="K166" s="52"/>
      <x:c r="L166" s="22"/>
      <x:c r="M166" s="22"/>
      <x:c r="N166" s="22"/>
    </x:row>
    <x:row r="167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  <x:c r="K167" s="52"/>
      <x:c r="L167" s="22"/>
      <x:c r="M167" s="22"/>
      <x:c r="N167" s="22"/>
    </x:row>
    <x:row r="168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  <x:c r="K168" s="52"/>
      <x:c r="L168" s="22"/>
      <x:c r="M168" s="22"/>
      <x:c r="N168" s="22"/>
    </x:row>
    <x:row r="169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  <x:c r="K169" s="52"/>
      <x:c r="L169" s="22"/>
      <x:c r="M169" s="22"/>
      <x:c r="N169" s="22"/>
    </x:row>
    <x:row r="170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  <x:c r="K170" s="52"/>
      <x:c r="L170" s="22"/>
      <x:c r="M170" s="22"/>
      <x:c r="N170" s="22"/>
    </x:row>
    <x:row r="17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  <x:c r="K171" s="52"/>
      <x:c r="L171" s="22"/>
      <x:c r="M171" s="22"/>
      <x:c r="N171" s="22"/>
    </x:row>
    <x:row r="172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  <x:c r="K172" s="52"/>
      <x:c r="L172" s="22"/>
      <x:c r="M172" s="22"/>
      <x:c r="N172" s="22"/>
    </x:row>
    <x:row r="173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  <x:c r="K173" s="52"/>
      <x:c r="L173" s="22"/>
      <x:c r="M173" s="22"/>
      <x:c r="N173" s="22"/>
    </x:row>
    <x:row r="174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  <x:c r="K174" s="52"/>
      <x:c r="L174" s="22"/>
      <x:c r="M174" s="22"/>
      <x:c r="N174" s="22"/>
    </x:row>
    <x:row r="175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  <x:c r="K175" s="52"/>
      <x:c r="L175" s="22"/>
      <x:c r="M175" s="22"/>
      <x:c r="N175" s="22"/>
    </x:row>
    <x:row r="176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  <x:c r="K176" s="52"/>
      <x:c r="L176" s="22"/>
      <x:c r="M176" s="22"/>
      <x:c r="N176" s="22"/>
    </x:row>
    <x:row r="177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  <x:c r="K177" s="52"/>
      <x:c r="L177" s="22"/>
      <x:c r="M177" s="22"/>
      <x:c r="N177" s="22"/>
    </x:row>
    <x:row r="178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  <x:c r="K178" s="52"/>
      <x:c r="L178" s="22"/>
      <x:c r="M178" s="22"/>
      <x:c r="N178" s="22"/>
    </x:row>
    <x:row r="179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  <x:c r="K179" s="52"/>
      <x:c r="L179" s="22"/>
      <x:c r="M179" s="22"/>
      <x:c r="N179" s="22"/>
    </x:row>
    <x:row r="180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  <x:c r="K180" s="52"/>
      <x:c r="L180" s="22"/>
      <x:c r="M180" s="22"/>
      <x:c r="N180" s="22"/>
    </x:row>
    <x:row r="18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  <x:c r="K181" s="52"/>
      <x:c r="L181" s="22"/>
      <x:c r="M181" s="22"/>
      <x:c r="N181" s="22"/>
    </x:row>
    <x:row r="182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  <x:c r="K182" s="52"/>
      <x:c r="L182" s="22"/>
      <x:c r="M182" s="22"/>
      <x:c r="N182" s="22"/>
    </x:row>
    <x:row r="183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  <x:c r="K183" s="52"/>
      <x:c r="L183" s="22"/>
      <x:c r="M183" s="22"/>
      <x:c r="N183" s="22"/>
    </x:row>
    <x:row r="184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  <x:c r="K184" s="52"/>
      <x:c r="L184" s="22"/>
      <x:c r="M184" s="22"/>
      <x:c r="N184" s="22"/>
    </x:row>
    <x:row r="185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  <x:c r="K185" s="52"/>
      <x:c r="L185" s="22"/>
      <x:c r="M185" s="22"/>
      <x:c r="N185" s="22"/>
    </x:row>
    <x:row r="186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  <x:c r="K186" s="52"/>
      <x:c r="L186" s="22"/>
      <x:c r="M186" s="22"/>
      <x:c r="N186" s="22"/>
    </x:row>
    <x:row r="187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  <x:c r="K187" s="52"/>
      <x:c r="L187" s="22"/>
      <x:c r="M187" s="22"/>
      <x:c r="N187" s="22"/>
    </x:row>
    <x:row r="188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  <x:c r="K188" s="52"/>
      <x:c r="L188" s="22"/>
      <x:c r="M188" s="22"/>
      <x:c r="N188" s="22"/>
    </x:row>
    <x:row r="189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  <x:c r="K189" s="52"/>
      <x:c r="L189" s="22"/>
      <x:c r="M189" s="22"/>
      <x:c r="N189" s="22"/>
    </x:row>
    <x:row r="190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  <x:c r="K190" s="52"/>
      <x:c r="L190" s="22"/>
      <x:c r="M190" s="22"/>
      <x:c r="N190" s="22"/>
    </x:row>
    <x:row r="19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  <x:c r="K191" s="52"/>
      <x:c r="L191" s="22"/>
      <x:c r="M191" s="22"/>
      <x:c r="N191" s="22"/>
    </x:row>
    <x:row r="192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  <x:c r="K192" s="52"/>
      <x:c r="L192" s="22"/>
      <x:c r="M192" s="22"/>
      <x:c r="N192" s="22"/>
    </x:row>
    <x:row r="193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  <x:c r="K193" s="52"/>
      <x:c r="L193" s="22"/>
      <x:c r="M193" s="22"/>
      <x:c r="N193" s="22"/>
    </x:row>
    <x:row r="194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  <x:c r="K194" s="52"/>
      <x:c r="L194" s="22"/>
      <x:c r="M194" s="22"/>
      <x:c r="N194" s="22"/>
    </x:row>
    <x:row r="195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  <x:c r="K195" s="52"/>
      <x:c r="L195" s="22"/>
      <x:c r="M195" s="22"/>
      <x:c r="N195" s="22"/>
    </x:row>
    <x:row r="196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  <x:c r="K196" s="52"/>
      <x:c r="L196" s="22"/>
      <x:c r="M196" s="22"/>
      <x:c r="N196" s="22"/>
    </x:row>
    <x:row r="197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  <x:c r="K197" s="52"/>
      <x:c r="L197" s="22"/>
      <x:c r="M197" s="22"/>
      <x:c r="N197" s="22"/>
    </x:row>
    <x:row r="198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  <x:c r="K198" s="52"/>
      <x:c r="L198" s="22"/>
      <x:c r="M198" s="22"/>
      <x:c r="N198" s="22"/>
    </x:row>
    <x:row r="199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  <x:c r="K199" s="52"/>
      <x:c r="L199" s="22"/>
      <x:c r="M199" s="22"/>
      <x:c r="N199" s="22"/>
    </x:row>
    <x:row r="200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  <x:c r="K200" s="52"/>
      <x:c r="L200" s="22"/>
      <x:c r="M200" s="22"/>
      <x:c r="N200" s="22"/>
    </x:row>
  </x:sheetData>
  <x:conditionalFormatting sqref="G2:G200">
    <x:cfRule type="expression" dxfId="0" priority="1">
      <x:formula>OR(G2="Passed",J2="Passed")</x:formula>
    </x:cfRule>
    <x:cfRule type="expression" dxfId="2" priority="2">
      <x:formula>G2="Passed"</x:formula>
    </x:cfRule>
    <x:cfRule type="expression" dxfId="3" priority="3">
      <x:formula>G2="Failed"</x:formula>
    </x:cfRule>
    <x:cfRule type="expression" dxfId="4" priority="4">
      <x:formula>G2="Blocked"</x:formula>
    </x:cfRule>
    <x:cfRule type="expression" dxfId="5" priority="5">
      <x:formula>G2="In Progress"</x:formula>
    </x:cfRule>
  </x:conditionalFormatting>
  <x:dataValidations count="4">
    <x:dataValidation type="list" sqref="G2:G200">
      <x:formula1>"Not Tested,In Progress,Passed,Failed,Blocked,Needs Review"</x:formula1>
    </x:dataValidation>
    <x:dataValidation type="list" sqref="H2:H200">
      <x:formula1>"☐,☑,☒,⚠,?"</x:formula1>
    </x:dataValidation>
    <x:dataValidation type="list" sqref="I2:I200">
      <x:formula1>"Critical,High,Medium,Low"</x:formula1>
    </x:dataValidation>
    <x:dataValidation type="list" sqref="C2:C200">
      <x:formula1>Lists!$D$2:$D$7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3d15c451b64be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940000057220459" hidden="0" customWidth="1"/>
    <x:col min="2" max="2" width="11.039999961853027" hidden="0" customWidth="1"/>
    <x:col min="3" max="3" width="9.020000457763672" hidden="0" customWidth="1"/>
    <x:col min="4" max="4" width="9.289999961853027" hidden="0" customWidth="1"/>
    <x:col min="5" max="5" width="7.670000076293945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8.210000038146973" hidden="0" customWidth="1"/>
    <x:col min="11" max="11" width="11.979999542236328" hidden="0" customWidth="1"/>
    <x:col min="12" max="12" width="9.020000457763672" hidden="0" customWidth="1"/>
    <x:col min="13" max="13" width="13.319999694824219" hidden="0" customWidth="1"/>
    <x:col min="14" max="14" width="30" hidden="0" customWidth="1"/>
  </x:cols>
  <x:sheetData>
    <x:row r="1">
      <x:c r="A1" s="40" t="str">
        <x:v>Bug ID</x:v>
      </x:c>
      <x:c r="B1" s="40" t="str">
        <x:v>Feature ID</x:v>
      </x:c>
      <x:c r="C1" s="40" t="str">
        <x:v>Module</x:v>
      </x:c>
      <x:c r="D1" s="40" t="str">
        <x:v>Severity</x:v>
      </x:c>
      <x:c r="E1" s="40" t="str">
        <x:v>Status</x:v>
      </x:c>
      <x:c r="F1" s="40" t="str">
        <x:v>Title / Description</x:v>
      </x:c>
      <x:c r="G1" s="40" t="str">
        <x:v>Steps To Reproduce</x:v>
      </x:c>
      <x:c r="H1" s="40" t="str">
        <x:v>Expected</x:v>
      </x:c>
      <x:c r="I1" s="40" t="str">
        <x:v>Actual</x:v>
      </x:c>
      <x:c r="J1" s="40" t="str">
        <x:v>Owner</x:v>
      </x:c>
      <x:c r="K1" s="40" t="str">
        <x:v>Date Found</x:v>
      </x:c>
      <x:c r="L1" s="40" t="str">
        <x:v>Fixed In</x:v>
      </x:c>
      <x:c r="M1" s="40" t="str">
        <x:v>Retest Result</x:v>
      </x:c>
      <x:c r="N1" s="40" t="str">
        <x:v>Comments</x:v>
      </x:c>
    </x:row>
    <x:row r="2">
      <x:c r="A2" s="56" t="str">
        <x:v>BUG-001</x:v>
      </x:c>
      <x:c r="B2" s="56"/>
      <x:c r="C2" s="56"/>
      <x:c r="D2" s="56"/>
      <x:c r="E2" s="56"/>
      <x:c r="F2" s="56" t="str">
        <x:v>Use this first row only when a real bug is found</x:v>
      </x:c>
      <x:c r="G2" s="56"/>
      <x:c r="H2" s="56"/>
      <x:c r="I2" s="56"/>
      <x:c r="J2" s="56"/>
      <x:c r="K2" s="57"/>
      <x:c r="L2" s="56"/>
      <x:c r="M2" s="56"/>
      <x:c r="N2" s="56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52"/>
      <x:c r="L3" s="22"/>
      <x:c r="M3" s="22"/>
      <x:c r="N3" s="22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52"/>
      <x:c r="L4" s="22"/>
      <x:c r="M4" s="22"/>
      <x:c r="N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52"/>
      <x:c r="L5" s="22"/>
      <x:c r="M5" s="22"/>
      <x:c r="N5" s="22"/>
    </x:row>
    <x:row r="6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52"/>
      <x:c r="L6" s="22"/>
      <x:c r="M6" s="22"/>
      <x:c r="N6" s="22"/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52"/>
      <x:c r="L7" s="22"/>
      <x:c r="M7" s="22"/>
      <x:c r="N7" s="22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52"/>
      <x:c r="L8" s="22"/>
      <x:c r="M8" s="22"/>
      <x:c r="N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52"/>
      <x:c r="L9" s="22"/>
      <x:c r="M9" s="22"/>
      <x:c r="N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52"/>
      <x:c r="L10" s="22"/>
      <x:c r="M10" s="22"/>
      <x:c r="N10" s="22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52"/>
      <x:c r="L11" s="22"/>
      <x:c r="M11" s="22"/>
      <x:c r="N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52"/>
      <x:c r="L12" s="22"/>
      <x:c r="M12" s="22"/>
      <x:c r="N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52"/>
      <x:c r="L13" s="22"/>
      <x:c r="M13" s="22"/>
      <x:c r="N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52"/>
      <x:c r="L14" s="22"/>
      <x:c r="M14" s="22"/>
      <x:c r="N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52"/>
      <x:c r="L15" s="22"/>
      <x:c r="M15" s="22"/>
      <x:c r="N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52"/>
      <x:c r="L16" s="22"/>
      <x:c r="M16" s="22"/>
      <x:c r="N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52"/>
      <x:c r="L17" s="22"/>
      <x:c r="M17" s="22"/>
      <x:c r="N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52"/>
      <x:c r="L18" s="22"/>
      <x:c r="M18" s="22"/>
      <x:c r="N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52"/>
      <x:c r="L19" s="22"/>
      <x:c r="M19" s="22"/>
      <x:c r="N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52"/>
      <x:c r="L20" s="22"/>
      <x:c r="M20" s="22"/>
      <x:c r="N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52"/>
      <x:c r="L21" s="22"/>
      <x:c r="M21" s="22"/>
      <x:c r="N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52"/>
      <x:c r="L22" s="22"/>
      <x:c r="M22" s="22"/>
      <x:c r="N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52"/>
      <x:c r="L23" s="22"/>
      <x:c r="M23" s="22"/>
      <x:c r="N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52"/>
      <x:c r="L24" s="22"/>
      <x:c r="M24" s="22"/>
      <x:c r="N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52"/>
      <x:c r="L25" s="22"/>
      <x:c r="M25" s="22"/>
      <x:c r="N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52"/>
      <x:c r="L26" s="22"/>
      <x:c r="M26" s="22"/>
      <x:c r="N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52"/>
      <x:c r="L27" s="22"/>
      <x:c r="M27" s="22"/>
      <x:c r="N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52"/>
      <x:c r="L28" s="22"/>
      <x:c r="M28" s="22"/>
      <x:c r="N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52"/>
      <x:c r="L29" s="22"/>
      <x:c r="M29" s="22"/>
      <x:c r="N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52"/>
      <x:c r="L30" s="22"/>
      <x:c r="M30" s="22"/>
      <x:c r="N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52"/>
      <x:c r="L31" s="22"/>
      <x:c r="M31" s="22"/>
      <x:c r="N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52"/>
      <x:c r="L32" s="22"/>
      <x:c r="M32" s="22"/>
      <x:c r="N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52"/>
      <x:c r="L33" s="22"/>
      <x:c r="M33" s="22"/>
      <x:c r="N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52"/>
      <x:c r="L34" s="22"/>
      <x:c r="M34" s="22"/>
      <x:c r="N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52"/>
      <x:c r="L35" s="22"/>
      <x:c r="M35" s="22"/>
      <x:c r="N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52"/>
      <x:c r="L36" s="22"/>
      <x:c r="M36" s="22"/>
      <x:c r="N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52"/>
      <x:c r="L37" s="22"/>
      <x:c r="M37" s="22"/>
      <x:c r="N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52"/>
      <x:c r="L38" s="22"/>
      <x:c r="M38" s="22"/>
      <x:c r="N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52"/>
      <x:c r="L39" s="22"/>
      <x:c r="M39" s="22"/>
      <x:c r="N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52"/>
      <x:c r="L40" s="22"/>
      <x:c r="M40" s="22"/>
      <x:c r="N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52"/>
      <x:c r="L41" s="22"/>
      <x:c r="M41" s="22"/>
      <x:c r="N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52"/>
      <x:c r="L42" s="22"/>
      <x:c r="M42" s="22"/>
      <x:c r="N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52"/>
      <x:c r="L43" s="22"/>
      <x:c r="M43" s="22"/>
      <x:c r="N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52"/>
      <x:c r="L44" s="22"/>
      <x:c r="M44" s="22"/>
      <x:c r="N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52"/>
      <x:c r="L45" s="22"/>
      <x:c r="M45" s="22"/>
      <x:c r="N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52"/>
      <x:c r="L46" s="22"/>
      <x:c r="M46" s="22"/>
      <x:c r="N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52"/>
      <x:c r="L47" s="22"/>
      <x:c r="M47" s="22"/>
      <x:c r="N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52"/>
      <x:c r="L48" s="22"/>
      <x:c r="M48" s="22"/>
      <x:c r="N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52"/>
      <x:c r="L49" s="22"/>
      <x:c r="M49" s="22"/>
      <x:c r="N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52"/>
      <x:c r="L50" s="22"/>
      <x:c r="M50" s="22"/>
      <x:c r="N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52"/>
      <x:c r="L51" s="22"/>
      <x:c r="M51" s="22"/>
      <x:c r="N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52"/>
      <x:c r="L52" s="22"/>
      <x:c r="M52" s="22"/>
      <x:c r="N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52"/>
      <x:c r="L53" s="22"/>
      <x:c r="M53" s="22"/>
      <x:c r="N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52"/>
      <x:c r="L54" s="22"/>
      <x:c r="M54" s="22"/>
      <x:c r="N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52"/>
      <x:c r="L55" s="22"/>
      <x:c r="M55" s="22"/>
      <x:c r="N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52"/>
      <x:c r="L56" s="22"/>
      <x:c r="M56" s="22"/>
      <x:c r="N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52"/>
      <x:c r="L57" s="22"/>
      <x:c r="M57" s="22"/>
      <x:c r="N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52"/>
      <x:c r="L58" s="22"/>
      <x:c r="M58" s="22"/>
      <x:c r="N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52"/>
      <x:c r="L59" s="22"/>
      <x:c r="M59" s="22"/>
      <x:c r="N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52"/>
      <x:c r="L60" s="22"/>
      <x:c r="M60" s="22"/>
      <x:c r="N60" s="22"/>
    </x:row>
    <x:row r="6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52"/>
      <x:c r="L61" s="22"/>
      <x:c r="M61" s="22"/>
      <x:c r="N61" s="22"/>
    </x:row>
    <x:row r="62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52"/>
      <x:c r="L62" s="22"/>
      <x:c r="M62" s="22"/>
      <x:c r="N62" s="22"/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52"/>
      <x:c r="L63" s="22"/>
      <x:c r="M63" s="22"/>
      <x:c r="N63" s="22"/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52"/>
      <x:c r="L64" s="22"/>
      <x:c r="M64" s="22"/>
      <x:c r="N64" s="22"/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52"/>
      <x:c r="L65" s="22"/>
      <x:c r="M65" s="22"/>
      <x:c r="N65" s="22"/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52"/>
      <x:c r="L66" s="22"/>
      <x:c r="M66" s="22"/>
      <x:c r="N66" s="22"/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52"/>
      <x:c r="L67" s="22"/>
      <x:c r="M67" s="22"/>
      <x:c r="N67" s="22"/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52"/>
      <x:c r="L68" s="22"/>
      <x:c r="M68" s="22"/>
      <x:c r="N68" s="22"/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52"/>
      <x:c r="L69" s="22"/>
      <x:c r="M69" s="22"/>
      <x:c r="N69" s="22"/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52"/>
      <x:c r="L70" s="22"/>
      <x:c r="M70" s="22"/>
      <x:c r="N70" s="22"/>
    </x:row>
    <x:row r="7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52"/>
      <x:c r="L71" s="22"/>
      <x:c r="M71" s="22"/>
      <x:c r="N71" s="22"/>
    </x:row>
    <x:row r="72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52"/>
      <x:c r="L72" s="22"/>
      <x:c r="M72" s="22"/>
      <x:c r="N72" s="22"/>
    </x:row>
    <x:row r="73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52"/>
      <x:c r="L73" s="22"/>
      <x:c r="M73" s="22"/>
      <x:c r="N73" s="22"/>
    </x:row>
    <x:row r="74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52"/>
      <x:c r="L74" s="22"/>
      <x:c r="M74" s="22"/>
      <x:c r="N74" s="22"/>
    </x:row>
    <x:row r="75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52"/>
      <x:c r="L75" s="22"/>
      <x:c r="M75" s="22"/>
      <x:c r="N75" s="22"/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52"/>
      <x:c r="L76" s="22"/>
      <x:c r="M76" s="22"/>
      <x:c r="N76" s="22"/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52"/>
      <x:c r="L77" s="22"/>
      <x:c r="M77" s="22"/>
      <x:c r="N77" s="22"/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52"/>
      <x:c r="L78" s="22"/>
      <x:c r="M78" s="22"/>
      <x:c r="N78" s="22"/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52"/>
      <x:c r="L79" s="22"/>
      <x:c r="M79" s="22"/>
      <x:c r="N79" s="22"/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52"/>
      <x:c r="L80" s="22"/>
      <x:c r="M80" s="22"/>
      <x:c r="N80" s="22"/>
    </x:row>
    <x:row r="8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  <x:c r="K81" s="52"/>
      <x:c r="L81" s="22"/>
      <x:c r="M81" s="22"/>
      <x:c r="N81" s="22"/>
    </x:row>
    <x:row r="82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  <x:c r="K82" s="52"/>
      <x:c r="L82" s="22"/>
      <x:c r="M82" s="22"/>
      <x:c r="N82" s="22"/>
    </x:row>
    <x:row r="83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  <x:c r="K83" s="52"/>
      <x:c r="L83" s="22"/>
      <x:c r="M83" s="22"/>
      <x:c r="N83" s="22"/>
    </x:row>
    <x:row r="84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  <x:c r="K84" s="52"/>
      <x:c r="L84" s="22"/>
      <x:c r="M84" s="22"/>
      <x:c r="N84" s="22"/>
    </x:row>
    <x:row r="85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  <x:c r="K85" s="52"/>
      <x:c r="L85" s="22"/>
      <x:c r="M85" s="22"/>
      <x:c r="N85" s="22"/>
    </x:row>
    <x:row r="86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  <x:c r="K86" s="52"/>
      <x:c r="L86" s="22"/>
      <x:c r="M86" s="22"/>
      <x:c r="N86" s="22"/>
    </x:row>
    <x:row r="87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  <x:c r="K87" s="52"/>
      <x:c r="L87" s="22"/>
      <x:c r="M87" s="22"/>
      <x:c r="N87" s="22"/>
    </x:row>
    <x:row r="88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  <x:c r="K88" s="52"/>
      <x:c r="L88" s="22"/>
      <x:c r="M88" s="22"/>
      <x:c r="N88" s="22"/>
    </x:row>
    <x:row r="89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  <x:c r="K89" s="52"/>
      <x:c r="L89" s="22"/>
      <x:c r="M89" s="22"/>
      <x:c r="N89" s="22"/>
    </x:row>
    <x:row r="90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  <x:c r="K90" s="52"/>
      <x:c r="L90" s="22"/>
      <x:c r="M90" s="22"/>
      <x:c r="N90" s="22"/>
    </x:row>
    <x:row r="9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  <x:c r="K91" s="52"/>
      <x:c r="L91" s="22"/>
      <x:c r="M91" s="22"/>
      <x:c r="N91" s="22"/>
    </x:row>
    <x:row r="92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  <x:c r="K92" s="52"/>
      <x:c r="L92" s="22"/>
      <x:c r="M92" s="22"/>
      <x:c r="N92" s="22"/>
    </x:row>
    <x:row r="93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  <x:c r="K93" s="52"/>
      <x:c r="L93" s="22"/>
      <x:c r="M93" s="22"/>
      <x:c r="N93" s="22"/>
    </x:row>
    <x:row r="94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  <x:c r="K94" s="52"/>
      <x:c r="L94" s="22"/>
      <x:c r="M94" s="22"/>
      <x:c r="N94" s="22"/>
    </x:row>
    <x:row r="95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  <x:c r="K95" s="52"/>
      <x:c r="L95" s="22"/>
      <x:c r="M95" s="22"/>
      <x:c r="N95" s="22"/>
    </x:row>
    <x:row r="96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  <x:c r="K96" s="52"/>
      <x:c r="L96" s="22"/>
      <x:c r="M96" s="22"/>
      <x:c r="N96" s="22"/>
    </x:row>
    <x:row r="97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  <x:c r="K97" s="52"/>
      <x:c r="L97" s="22"/>
      <x:c r="M97" s="22"/>
      <x:c r="N97" s="22"/>
    </x:row>
    <x:row r="98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  <x:c r="K98" s="52"/>
      <x:c r="L98" s="22"/>
      <x:c r="M98" s="22"/>
      <x:c r="N98" s="22"/>
    </x:row>
    <x:row r="99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  <x:c r="K99" s="52"/>
      <x:c r="L99" s="22"/>
      <x:c r="M99" s="22"/>
      <x:c r="N99" s="22"/>
    </x:row>
    <x:row r="100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  <x:c r="K100" s="52"/>
      <x:c r="L100" s="22"/>
      <x:c r="M100" s="22"/>
      <x:c r="N100" s="22"/>
    </x:row>
    <x:row r="10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52"/>
      <x:c r="L101" s="22"/>
      <x:c r="M101" s="22"/>
      <x:c r="N101" s="22"/>
    </x:row>
    <x:row r="102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  <x:c r="K102" s="52"/>
      <x:c r="L102" s="22"/>
      <x:c r="M102" s="22"/>
      <x:c r="N102" s="22"/>
    </x:row>
    <x:row r="103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  <x:c r="K103" s="52"/>
      <x:c r="L103" s="22"/>
      <x:c r="M103" s="22"/>
      <x:c r="N103" s="22"/>
    </x:row>
    <x:row r="104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  <x:c r="K104" s="52"/>
      <x:c r="L104" s="22"/>
      <x:c r="M104" s="22"/>
      <x:c r="N104" s="22"/>
    </x:row>
    <x:row r="105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  <x:c r="K105" s="52"/>
      <x:c r="L105" s="22"/>
      <x:c r="M105" s="22"/>
      <x:c r="N105" s="22"/>
    </x:row>
    <x:row r="106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  <x:c r="K106" s="52"/>
      <x:c r="L106" s="22"/>
      <x:c r="M106" s="22"/>
      <x:c r="N106" s="22"/>
    </x:row>
    <x:row r="107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  <x:c r="K107" s="52"/>
      <x:c r="L107" s="22"/>
      <x:c r="M107" s="22"/>
      <x:c r="N107" s="22"/>
    </x:row>
    <x:row r="108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  <x:c r="K108" s="52"/>
      <x:c r="L108" s="22"/>
      <x:c r="M108" s="22"/>
      <x:c r="N108" s="22"/>
    </x:row>
    <x:row r="109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  <x:c r="K109" s="52"/>
      <x:c r="L109" s="22"/>
      <x:c r="M109" s="22"/>
      <x:c r="N109" s="22"/>
    </x:row>
    <x:row r="110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  <x:c r="K110" s="52"/>
      <x:c r="L110" s="22"/>
      <x:c r="M110" s="22"/>
      <x:c r="N110" s="22"/>
    </x:row>
    <x:row r="11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  <x:c r="K111" s="52"/>
      <x:c r="L111" s="22"/>
      <x:c r="M111" s="22"/>
      <x:c r="N111" s="22"/>
    </x:row>
    <x:row r="112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  <x:c r="K112" s="52"/>
      <x:c r="L112" s="22"/>
      <x:c r="M112" s="22"/>
      <x:c r="N112" s="22"/>
    </x:row>
    <x:row r="113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  <x:c r="K113" s="52"/>
      <x:c r="L113" s="22"/>
      <x:c r="M113" s="22"/>
      <x:c r="N113" s="22"/>
    </x:row>
    <x:row r="114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  <x:c r="K114" s="52"/>
      <x:c r="L114" s="22"/>
      <x:c r="M114" s="22"/>
      <x:c r="N114" s="22"/>
    </x:row>
    <x:row r="115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  <x:c r="K115" s="52"/>
      <x:c r="L115" s="22"/>
      <x:c r="M115" s="22"/>
      <x:c r="N115" s="22"/>
    </x:row>
    <x:row r="116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  <x:c r="K116" s="52"/>
      <x:c r="L116" s="22"/>
      <x:c r="M116" s="22"/>
      <x:c r="N116" s="22"/>
    </x:row>
    <x:row r="117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  <x:c r="K117" s="52"/>
      <x:c r="L117" s="22"/>
      <x:c r="M117" s="22"/>
      <x:c r="N117" s="22"/>
    </x:row>
    <x:row r="118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  <x:c r="K118" s="52"/>
      <x:c r="L118" s="22"/>
      <x:c r="M118" s="22"/>
      <x:c r="N118" s="22"/>
    </x:row>
    <x:row r="119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  <x:c r="K119" s="52"/>
      <x:c r="L119" s="22"/>
      <x:c r="M119" s="22"/>
      <x:c r="N119" s="22"/>
    </x:row>
    <x:row r="120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52"/>
      <x:c r="L120" s="22"/>
      <x:c r="M120" s="22"/>
      <x:c r="N120" s="22"/>
    </x:row>
    <x:row r="12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  <x:c r="K121" s="52"/>
      <x:c r="L121" s="22"/>
      <x:c r="M121" s="22"/>
      <x:c r="N121" s="22"/>
    </x:row>
    <x:row r="122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  <x:c r="K122" s="52"/>
      <x:c r="L122" s="22"/>
      <x:c r="M122" s="22"/>
      <x:c r="N122" s="22"/>
    </x:row>
    <x:row r="123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  <x:c r="K123" s="52"/>
      <x:c r="L123" s="22"/>
      <x:c r="M123" s="22"/>
      <x:c r="N123" s="22"/>
    </x:row>
    <x:row r="124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  <x:c r="K124" s="52"/>
      <x:c r="L124" s="22"/>
      <x:c r="M124" s="22"/>
      <x:c r="N124" s="22"/>
    </x:row>
    <x:row r="125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  <x:c r="K125" s="52"/>
      <x:c r="L125" s="22"/>
      <x:c r="M125" s="22"/>
      <x:c r="N125" s="22"/>
    </x:row>
    <x:row r="126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  <x:c r="K126" s="52"/>
      <x:c r="L126" s="22"/>
      <x:c r="M126" s="22"/>
      <x:c r="N126" s="22"/>
    </x:row>
    <x:row r="127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  <x:c r="K127" s="52"/>
      <x:c r="L127" s="22"/>
      <x:c r="M127" s="22"/>
      <x:c r="N127" s="22"/>
    </x:row>
    <x:row r="128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  <x:c r="K128" s="52"/>
      <x:c r="L128" s="22"/>
      <x:c r="M128" s="22"/>
      <x:c r="N128" s="22"/>
    </x:row>
    <x:row r="129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  <x:c r="K129" s="52"/>
      <x:c r="L129" s="22"/>
      <x:c r="M129" s="22"/>
      <x:c r="N129" s="22"/>
    </x:row>
    <x:row r="130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  <x:c r="K130" s="52"/>
      <x:c r="L130" s="22"/>
      <x:c r="M130" s="22"/>
      <x:c r="N130" s="22"/>
    </x:row>
    <x:row r="13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  <x:c r="K131" s="52"/>
      <x:c r="L131" s="22"/>
      <x:c r="M131" s="22"/>
      <x:c r="N131" s="22"/>
    </x:row>
    <x:row r="132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  <x:c r="K132" s="52"/>
      <x:c r="L132" s="22"/>
      <x:c r="M132" s="22"/>
      <x:c r="N132" s="22"/>
    </x:row>
    <x:row r="133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52"/>
      <x:c r="L133" s="22"/>
      <x:c r="M133" s="22"/>
      <x:c r="N133" s="22"/>
    </x:row>
    <x:row r="134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  <x:c r="K134" s="52"/>
      <x:c r="L134" s="22"/>
      <x:c r="M134" s="22"/>
      <x:c r="N134" s="22"/>
    </x:row>
    <x:row r="135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  <x:c r="K135" s="52"/>
      <x:c r="L135" s="22"/>
      <x:c r="M135" s="22"/>
      <x:c r="N135" s="22"/>
    </x:row>
    <x:row r="136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  <x:c r="K136" s="52"/>
      <x:c r="L136" s="22"/>
      <x:c r="M136" s="22"/>
      <x:c r="N136" s="22"/>
    </x:row>
    <x:row r="137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  <x:c r="K137" s="52"/>
      <x:c r="L137" s="22"/>
      <x:c r="M137" s="22"/>
      <x:c r="N137" s="22"/>
    </x:row>
    <x:row r="138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  <x:c r="K138" s="52"/>
      <x:c r="L138" s="22"/>
      <x:c r="M138" s="22"/>
      <x:c r="N138" s="22"/>
    </x:row>
    <x:row r="139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  <x:c r="K139" s="52"/>
      <x:c r="L139" s="22"/>
      <x:c r="M139" s="22"/>
      <x:c r="N139" s="22"/>
    </x:row>
    <x:row r="140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  <x:c r="K140" s="52"/>
      <x:c r="L140" s="22"/>
      <x:c r="M140" s="22"/>
      <x:c r="N140" s="22"/>
    </x:row>
    <x:row r="14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  <x:c r="K141" s="52"/>
      <x:c r="L141" s="22"/>
      <x:c r="M141" s="22"/>
      <x:c r="N141" s="22"/>
    </x:row>
    <x:row r="142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  <x:c r="K142" s="52"/>
      <x:c r="L142" s="22"/>
      <x:c r="M142" s="22"/>
      <x:c r="N142" s="22"/>
    </x:row>
    <x:row r="143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  <x:c r="K143" s="52"/>
      <x:c r="L143" s="22"/>
      <x:c r="M143" s="22"/>
      <x:c r="N143" s="22"/>
    </x:row>
    <x:row r="144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  <x:c r="K144" s="52"/>
      <x:c r="L144" s="22"/>
      <x:c r="M144" s="22"/>
      <x:c r="N144" s="22"/>
    </x:row>
    <x:row r="145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  <x:c r="K145" s="52"/>
      <x:c r="L145" s="22"/>
      <x:c r="M145" s="22"/>
      <x:c r="N145" s="22"/>
    </x:row>
    <x:row r="146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  <x:c r="K146" s="52"/>
      <x:c r="L146" s="22"/>
      <x:c r="M146" s="22"/>
      <x:c r="N146" s="22"/>
    </x:row>
    <x:row r="147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  <x:c r="K147" s="52"/>
      <x:c r="L147" s="22"/>
      <x:c r="M147" s="22"/>
      <x:c r="N147" s="22"/>
    </x:row>
    <x:row r="148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  <x:c r="K148" s="52"/>
      <x:c r="L148" s="22"/>
      <x:c r="M148" s="22"/>
      <x:c r="N148" s="22"/>
    </x:row>
    <x:row r="149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  <x:c r="K149" s="52"/>
      <x:c r="L149" s="22"/>
      <x:c r="M149" s="22"/>
      <x:c r="N149" s="22"/>
    </x:row>
    <x:row r="150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  <x:c r="K150" s="52"/>
      <x:c r="L150" s="22"/>
      <x:c r="M150" s="22"/>
      <x:c r="N150" s="22"/>
    </x:row>
    <x:row r="15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  <x:c r="K151" s="52"/>
      <x:c r="L151" s="22"/>
      <x:c r="M151" s="22"/>
      <x:c r="N151" s="22"/>
    </x:row>
    <x:row r="152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  <x:c r="K152" s="52"/>
      <x:c r="L152" s="22"/>
      <x:c r="M152" s="22"/>
      <x:c r="N152" s="22"/>
    </x:row>
    <x:row r="153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  <x:c r="K153" s="52"/>
      <x:c r="L153" s="22"/>
      <x:c r="M153" s="22"/>
      <x:c r="N153" s="22"/>
    </x:row>
    <x:row r="154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  <x:c r="K154" s="52"/>
      <x:c r="L154" s="22"/>
      <x:c r="M154" s="22"/>
      <x:c r="N154" s="22"/>
    </x:row>
    <x:row r="155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  <x:c r="K155" s="52"/>
      <x:c r="L155" s="22"/>
      <x:c r="M155" s="22"/>
      <x:c r="N155" s="22"/>
    </x:row>
    <x:row r="156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  <x:c r="K156" s="52"/>
      <x:c r="L156" s="22"/>
      <x:c r="M156" s="22"/>
      <x:c r="N156" s="22"/>
    </x:row>
    <x:row r="157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  <x:c r="K157" s="52"/>
      <x:c r="L157" s="22"/>
      <x:c r="M157" s="22"/>
      <x:c r="N157" s="22"/>
    </x:row>
    <x:row r="158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  <x:c r="K158" s="52"/>
      <x:c r="L158" s="22"/>
      <x:c r="M158" s="22"/>
      <x:c r="N158" s="22"/>
    </x:row>
    <x:row r="159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  <x:c r="K159" s="52"/>
      <x:c r="L159" s="22"/>
      <x:c r="M159" s="22"/>
      <x:c r="N159" s="22"/>
    </x:row>
    <x:row r="160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  <x:c r="K160" s="52"/>
      <x:c r="L160" s="22"/>
      <x:c r="M160" s="22"/>
      <x:c r="N160" s="22"/>
    </x:row>
    <x:row r="16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  <x:c r="K161" s="52"/>
      <x:c r="L161" s="22"/>
      <x:c r="M161" s="22"/>
      <x:c r="N161" s="22"/>
    </x:row>
    <x:row r="162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  <x:c r="K162" s="52"/>
      <x:c r="L162" s="22"/>
      <x:c r="M162" s="22"/>
      <x:c r="N162" s="22"/>
    </x:row>
    <x:row r="163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  <x:c r="K163" s="52"/>
      <x:c r="L163" s="22"/>
      <x:c r="M163" s="22"/>
      <x:c r="N163" s="22"/>
    </x:row>
    <x:row r="164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  <x:c r="K164" s="52"/>
      <x:c r="L164" s="22"/>
      <x:c r="M164" s="22"/>
      <x:c r="N164" s="22"/>
    </x:row>
    <x:row r="165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  <x:c r="K165" s="52"/>
      <x:c r="L165" s="22"/>
      <x:c r="M165" s="22"/>
      <x:c r="N165" s="22"/>
    </x:row>
    <x:row r="166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  <x:c r="K166" s="52"/>
      <x:c r="L166" s="22"/>
      <x:c r="M166" s="22"/>
      <x:c r="N166" s="22"/>
    </x:row>
    <x:row r="167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  <x:c r="K167" s="52"/>
      <x:c r="L167" s="22"/>
      <x:c r="M167" s="22"/>
      <x:c r="N167" s="22"/>
    </x:row>
    <x:row r="168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  <x:c r="K168" s="52"/>
      <x:c r="L168" s="22"/>
      <x:c r="M168" s="22"/>
      <x:c r="N168" s="22"/>
    </x:row>
    <x:row r="169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  <x:c r="K169" s="52"/>
      <x:c r="L169" s="22"/>
      <x:c r="M169" s="22"/>
      <x:c r="N169" s="22"/>
    </x:row>
    <x:row r="170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  <x:c r="K170" s="52"/>
      <x:c r="L170" s="22"/>
      <x:c r="M170" s="22"/>
      <x:c r="N170" s="22"/>
    </x:row>
    <x:row r="17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  <x:c r="K171" s="52"/>
      <x:c r="L171" s="22"/>
      <x:c r="M171" s="22"/>
      <x:c r="N171" s="22"/>
    </x:row>
    <x:row r="172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  <x:c r="K172" s="52"/>
      <x:c r="L172" s="22"/>
      <x:c r="M172" s="22"/>
      <x:c r="N172" s="22"/>
    </x:row>
    <x:row r="173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  <x:c r="K173" s="52"/>
      <x:c r="L173" s="22"/>
      <x:c r="M173" s="22"/>
      <x:c r="N173" s="22"/>
    </x:row>
    <x:row r="174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  <x:c r="K174" s="52"/>
      <x:c r="L174" s="22"/>
      <x:c r="M174" s="22"/>
      <x:c r="N174" s="22"/>
    </x:row>
    <x:row r="175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  <x:c r="K175" s="52"/>
      <x:c r="L175" s="22"/>
      <x:c r="M175" s="22"/>
      <x:c r="N175" s="22"/>
    </x:row>
    <x:row r="176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  <x:c r="K176" s="52"/>
      <x:c r="L176" s="22"/>
      <x:c r="M176" s="22"/>
      <x:c r="N176" s="22"/>
    </x:row>
    <x:row r="177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  <x:c r="K177" s="52"/>
      <x:c r="L177" s="22"/>
      <x:c r="M177" s="22"/>
      <x:c r="N177" s="22"/>
    </x:row>
    <x:row r="178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  <x:c r="K178" s="52"/>
      <x:c r="L178" s="22"/>
      <x:c r="M178" s="22"/>
      <x:c r="N178" s="22"/>
    </x:row>
    <x:row r="179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  <x:c r="K179" s="52"/>
      <x:c r="L179" s="22"/>
      <x:c r="M179" s="22"/>
      <x:c r="N179" s="22"/>
    </x:row>
    <x:row r="180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  <x:c r="K180" s="52"/>
      <x:c r="L180" s="22"/>
      <x:c r="M180" s="22"/>
      <x:c r="N180" s="22"/>
    </x:row>
    <x:row r="18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  <x:c r="K181" s="52"/>
      <x:c r="L181" s="22"/>
      <x:c r="M181" s="22"/>
      <x:c r="N181" s="22"/>
    </x:row>
    <x:row r="182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  <x:c r="K182" s="52"/>
      <x:c r="L182" s="22"/>
      <x:c r="M182" s="22"/>
      <x:c r="N182" s="22"/>
    </x:row>
    <x:row r="183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  <x:c r="K183" s="52"/>
      <x:c r="L183" s="22"/>
      <x:c r="M183" s="22"/>
      <x:c r="N183" s="22"/>
    </x:row>
    <x:row r="184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  <x:c r="K184" s="52"/>
      <x:c r="L184" s="22"/>
      <x:c r="M184" s="22"/>
      <x:c r="N184" s="22"/>
    </x:row>
    <x:row r="185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  <x:c r="K185" s="52"/>
      <x:c r="L185" s="22"/>
      <x:c r="M185" s="22"/>
      <x:c r="N185" s="22"/>
    </x:row>
    <x:row r="186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  <x:c r="K186" s="52"/>
      <x:c r="L186" s="22"/>
      <x:c r="M186" s="22"/>
      <x:c r="N186" s="22"/>
    </x:row>
    <x:row r="187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  <x:c r="K187" s="52"/>
      <x:c r="L187" s="22"/>
      <x:c r="M187" s="22"/>
      <x:c r="N187" s="22"/>
    </x:row>
    <x:row r="188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  <x:c r="K188" s="52"/>
      <x:c r="L188" s="22"/>
      <x:c r="M188" s="22"/>
      <x:c r="N188" s="22"/>
    </x:row>
    <x:row r="189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  <x:c r="K189" s="52"/>
      <x:c r="L189" s="22"/>
      <x:c r="M189" s="22"/>
      <x:c r="N189" s="22"/>
    </x:row>
    <x:row r="190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  <x:c r="K190" s="52"/>
      <x:c r="L190" s="22"/>
      <x:c r="M190" s="22"/>
      <x:c r="N190" s="22"/>
    </x:row>
    <x:row r="19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  <x:c r="K191" s="52"/>
      <x:c r="L191" s="22"/>
      <x:c r="M191" s="22"/>
      <x:c r="N191" s="22"/>
    </x:row>
    <x:row r="192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  <x:c r="K192" s="52"/>
      <x:c r="L192" s="22"/>
      <x:c r="M192" s="22"/>
      <x:c r="N192" s="22"/>
    </x:row>
    <x:row r="193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  <x:c r="K193" s="52"/>
      <x:c r="L193" s="22"/>
      <x:c r="M193" s="22"/>
      <x:c r="N193" s="22"/>
    </x:row>
    <x:row r="194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  <x:c r="K194" s="52"/>
      <x:c r="L194" s="22"/>
      <x:c r="M194" s="22"/>
      <x:c r="N194" s="22"/>
    </x:row>
    <x:row r="195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  <x:c r="K195" s="52"/>
      <x:c r="L195" s="22"/>
      <x:c r="M195" s="22"/>
      <x:c r="N195" s="22"/>
    </x:row>
    <x:row r="196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  <x:c r="K196" s="52"/>
      <x:c r="L196" s="22"/>
      <x:c r="M196" s="22"/>
      <x:c r="N196" s="22"/>
    </x:row>
    <x:row r="197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  <x:c r="K197" s="52"/>
      <x:c r="L197" s="22"/>
      <x:c r="M197" s="22"/>
      <x:c r="N197" s="22"/>
    </x:row>
    <x:row r="198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  <x:c r="K198" s="52"/>
      <x:c r="L198" s="22"/>
      <x:c r="M198" s="22"/>
      <x:c r="N198" s="22"/>
    </x:row>
    <x:row r="199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  <x:c r="K199" s="52"/>
      <x:c r="L199" s="22"/>
      <x:c r="M199" s="22"/>
      <x:c r="N199" s="22"/>
    </x:row>
    <x:row r="200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  <x:c r="K200" s="52"/>
      <x:c r="L200" s="22"/>
      <x:c r="M200" s="22"/>
      <x:c r="N200" s="22"/>
    </x:row>
  </x:sheetData>
  <x:conditionalFormatting sqref="E2:E200">
    <x:cfRule type="expression" dxfId="6" priority="1">
      <x:formula>E2="Open"</x:formula>
    </x:cfRule>
    <x:cfRule type="expression" dxfId="7" priority="2">
      <x:formula>E2="Fixed"</x:formula>
    </x:cfRule>
    <x:cfRule type="expression" dxfId="8" priority="3">
      <x:formula>E2="Closed"</x:formula>
    </x:cfRule>
  </x:conditionalFormatting>
  <x:dataValidations count="3">
    <x:dataValidation type="list" sqref="D2:D200">
      <x:formula1>"Critical,High,Medium,Low"</x:formula1>
    </x:dataValidation>
    <x:dataValidation type="list" sqref="E2:E200">
      <x:formula1>"Open,In Progress,Fixed,Closed,Won’t Fix,Duplicate"</x:formula1>
    </x:dataValidation>
    <x:dataValidation type="list" sqref="M2:M200">
      <x:formula1>"Not Retested,Passed,Failed,Blocked"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2a90914b714f3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11.039999961853027" hidden="0" customWidth="1"/>
    <x:col min="3" max="3" width="14.670000076293945" hidden="0" customWidth="1"/>
    <x:col min="4" max="4" width="15.609999656677246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13.319999694824219" hidden="0" customWidth="1"/>
    <x:col min="10" max="10" width="8.609999656677246" hidden="0" customWidth="1"/>
    <x:col min="11" max="11" width="7.940000057220459" hidden="0" customWidth="1"/>
    <x:col min="12" max="12" width="30" hidden="0" customWidth="1"/>
  </x:cols>
  <x:sheetData>
    <x:row r="1">
      <x:c r="A1" s="50" t="str">
        <x:v>Test ID</x:v>
      </x:c>
      <x:c r="B1" s="50" t="str">
        <x:v>Feature ID</x:v>
      </x:c>
      <x:c r="C1" s="50" t="str">
        <x:v>Module</x:v>
      </x:c>
      <x:c r="D1" s="50" t="str">
        <x:v>Role</x:v>
      </x:c>
      <x:c r="E1" s="50" t="str">
        <x:v>Scenario</x:v>
      </x:c>
      <x:c r="F1" s="50" t="str">
        <x:v>Preconditions</x:v>
      </x:c>
      <x:c r="G1" s="50" t="str">
        <x:v>Test Steps</x:v>
      </x:c>
      <x:c r="H1" s="50" t="str">
        <x:v>Expected Result</x:v>
      </x:c>
      <x:c r="I1" s="50" t="str">
        <x:v>Actual Result</x:v>
      </x:c>
      <x:c r="J1" s="50" t="str">
        <x:v>Result</x:v>
      </x:c>
      <x:c r="K1" s="50" t="str">
        <x:v>Bug ID</x:v>
      </x:c>
      <x:c r="L1" s="50" t="str">
        <x:v>Comments</x:v>
      </x:c>
    </x:row>
    <x:row r="2">
      <x:c r="A2" s="22" t="str">
        <x:v>TC-001</x:v>
      </x:c>
      <x:c r="B2" s="22" t="str">
        <x:v>WG-F008</x:v>
      </x:c>
      <x:c r="C2" s="22" t="str">
        <x:v>Auth</x:v>
      </x:c>
      <x:c r="D2" s="22" t="str">
        <x:v>All</x:v>
      </x:c>
      <x:c r="E2" s="22" t="str">
        <x:v>Login with valid credentials</x:v>
      </x:c>
      <x:c r="F2" s="22" t="str">
        <x:v>User exists and password is correct</x:v>
      </x:c>
      <x:c r="G2" s="22" t="str">
        <x:v>Open login page; enter email/password; submit</x:v>
      </x:c>
      <x:c r="H2" s="22" t="str">
        <x:v>User lands in correct role dashboard and session cookie exists</x:v>
      </x:c>
      <x:c r="I2" s="22" t="str"/>
      <x:c r="J2" s="22" t="str">
        <x:v>Not Run</x:v>
      </x:c>
      <x:c r="K2" s="22" t="str"/>
      <x:c r="L2" s="22" t="str"/>
    </x:row>
    <x:row r="3">
      <x:c r="A3" s="22" t="str">
        <x:v>TC-002</x:v>
      </x:c>
      <x:c r="B3" s="22" t="str">
        <x:v>WG-F010</x:v>
      </x:c>
      <x:c r="C3" s="22" t="str">
        <x:v>Auth</x:v>
      </x:c>
      <x:c r="D3" s="22" t="str">
        <x:v>All</x:v>
      </x:c>
      <x:c r="E3" s="22" t="str">
        <x:v>Refresh authenticated page</x:v>
      </x:c>
      <x:c r="F3" s="22" t="str">
        <x:v>User is logged in</x:v>
      </x:c>
      <x:c r="G3" s="22" t="str">
        <x:v>Reload page and call /api/auth/me</x:v>
      </x:c>
      <x:c r="H3" s="22" t="str">
        <x:v>Current user data returns without redirect loop</x:v>
      </x:c>
      <x:c r="I3" s="22" t="str"/>
      <x:c r="J3" s="22" t="str">
        <x:v>Not Run</x:v>
      </x:c>
      <x:c r="K3" s="22" t="str"/>
      <x:c r="L3" s="22" t="str"/>
    </x:row>
    <x:row r="4">
      <x:c r="A4" s="22" t="str">
        <x:v>TC-003</x:v>
      </x:c>
      <x:c r="B4" s="22" t="str">
        <x:v>WG-F016</x:v>
      </x:c>
      <x:c r="C4" s="22" t="str">
        <x:v>Access Control</x:v>
      </x:c>
      <x:c r="D4" s="22" t="str">
        <x:v>Admin</x:v>
      </x:c>
      <x:c r="E4" s="22" t="str">
        <x:v>Block customer from admin route</x:v>
      </x:c>
      <x:c r="F4" s="22" t="str">
        <x:v>Logged in as CUSTOMER</x:v>
      </x:c>
      <x:c r="G4" s="22" t="str">
        <x:v>Open /admin page or call /api/admin/users</x:v>
      </x:c>
      <x:c r="H4" s="22" t="str">
        <x:v>Request is rejected or redirected</x:v>
      </x:c>
      <x:c r="I4" s="22" t="str"/>
      <x:c r="J4" s="22" t="str">
        <x:v>Not Run</x:v>
      </x:c>
      <x:c r="K4" s="22" t="str"/>
      <x:c r="L4" s="22" t="str"/>
    </x:row>
    <x:row r="5">
      <x:c r="A5" s="22" t="str">
        <x:v>TC-004</x:v>
      </x:c>
      <x:c r="B5" s="22" t="str">
        <x:v>WG-F019</x:v>
      </x:c>
      <x:c r="C5" s="22" t="str">
        <x:v>Customer Address</x:v>
      </x:c>
      <x:c r="D5" s="22" t="str">
        <x:v>Customer</x:v>
      </x:c>
      <x:c r="E5" s="22" t="str">
        <x:v>List customer addresses</x:v>
      </x:c>
      <x:c r="F5" s="22" t="str">
        <x:v>Customer has at least one address</x:v>
      </x:c>
      <x:c r="G5" s="22" t="str">
        <x:v>Open address/profile screen or call endpoint</x:v>
      </x:c>
      <x:c r="H5" s="22" t="str">
        <x:v>JSON response returns address list, not HTML</x:v>
      </x:c>
      <x:c r="I5" s="22" t="str"/>
      <x:c r="J5" s="22" t="str">
        <x:v>Not Run</x:v>
      </x:c>
      <x:c r="K5" s="22" t="str"/>
      <x:c r="L5" s="22" t="str"/>
    </x:row>
    <x:row r="6">
      <x:c r="A6" s="22" t="str">
        <x:v>TC-005</x:v>
      </x:c>
      <x:c r="B6" s="22" t="str">
        <x:v>WG-F023</x:v>
      </x:c>
      <x:c r="C6" s="22" t="str">
        <x:v>Waste Categories</x:v>
      </x:c>
      <x:c r="D6" s="22" t="str">
        <x:v>Customer</x:v>
      </x:c>
      <x:c r="E6" s="22" t="str">
        <x:v>Load categories in pickup wizard</x:v>
      </x:c>
      <x:c r="F6" s="22" t="str">
        <x:v>Waste categories exist and are active</x:v>
      </x:c>
      <x:c r="G6" s="22" t="str">
        <x:v>Open new pickup wizard</x:v>
      </x:c>
      <x:c r="H6" s="22" t="str">
        <x:v>Category dropdown/list loads correctly</x:v>
      </x:c>
      <x:c r="I6" s="22" t="str"/>
      <x:c r="J6" s="22" t="str">
        <x:v>Not Run</x:v>
      </x:c>
      <x:c r="K6" s="22" t="str"/>
      <x:c r="L6" s="22" t="str"/>
    </x:row>
    <x:row r="7">
      <x:c r="A7" s="22" t="str">
        <x:v>TC-006</x:v>
      </x:c>
      <x:c r="B7" s="22" t="str">
        <x:v>WG-F026</x:v>
      </x:c>
      <x:c r="C7" s="22" t="str">
        <x:v>Pickup</x:v>
      </x:c>
      <x:c r="D7" s="22" t="str">
        <x:v>Customer</x:v>
      </x:c>
      <x:c r="E7" s="22" t="str">
        <x:v>Upload pickup image</x:v>
      </x:c>
      <x:c r="F7" s="22" t="str">
        <x:v>Customer logged in; image file ready</x:v>
      </x:c>
      <x:c r="G7" s="22" t="str">
        <x:v>Upload one valid image</x:v>
      </x:c>
      <x:c r="H7" s="22" t="str">
        <x:v>Image preview appears and backend accepts file</x:v>
      </x:c>
      <x:c r="I7" s="22" t="str"/>
      <x:c r="J7" s="22" t="str">
        <x:v>Not Run</x:v>
      </x:c>
      <x:c r="K7" s="22" t="str"/>
      <x:c r="L7" s="22" t="str"/>
    </x:row>
    <x:row r="8">
      <x:c r="A8" s="22" t="str">
        <x:v>TC-007</x:v>
      </x:c>
      <x:c r="B8" s="22" t="str">
        <x:v>WG-F028</x:v>
      </x:c>
      <x:c r="C8" s="22" t="str">
        <x:v>AI Detection</x:v>
      </x:c>
      <x:c r="D8" s="22" t="str">
        <x:v>Customer</x:v>
      </x:c>
      <x:c r="E8" s="22" t="str">
        <x:v>Analyze five images maximum</x:v>
      </x:c>
      <x:c r="F8" s="22" t="str">
        <x:v>ROBOFLOW_API_KEY configured</x:v>
      </x:c>
      <x:c r="G8" s="22" t="str">
        <x:v>Upload 1-5 images and call analyze endpoint</x:v>
      </x:c>
      <x:c r="H8" s="22" t="str">
        <x:v>Returns detected category/weight/points data</x:v>
      </x:c>
      <x:c r="I8" s="22" t="str"/>
      <x:c r="J8" s="22" t="str">
        <x:v>Not Run</x:v>
      </x:c>
      <x:c r="K8" s="22" t="str"/>
      <x:c r="L8" s="22" t="str"/>
    </x:row>
    <x:row r="9">
      <x:c r="A9" s="22" t="str">
        <x:v>TC-008</x:v>
      </x:c>
      <x:c r="B9" s="22" t="str">
        <x:v>WG-F034</x:v>
      </x:c>
      <x:c r="C9" s="22" t="str">
        <x:v>Pickup</x:v>
      </x:c>
      <x:c r="D9" s="22" t="str">
        <x:v>Customer</x:v>
      </x:c>
      <x:c r="E9" s="22" t="str">
        <x:v>Submit complete pickup request</x:v>
      </x:c>
      <x:c r="F9" s="22" t="str">
        <x:v>Logged in; address/category/image selected</x:v>
      </x:c>
      <x:c r="G9" s="22" t="str">
        <x:v>Submit pickup wizard</x:v>
      </x:c>
      <x:c r="H9" s="22" t="str">
        <x:v>PickupRequest, items, images created and success notification shown</x:v>
      </x:c>
      <x:c r="I9" s="22" t="str"/>
      <x:c r="J9" s="22" t="str">
        <x:v>Not Run</x:v>
      </x:c>
      <x:c r="K9" s="22" t="str"/>
      <x:c r="L9" s="22" t="str"/>
    </x:row>
    <x:row r="10">
      <x:c r="A10" s="22" t="str">
        <x:v>TC-009</x:v>
      </x:c>
      <x:c r="B10" s="22" t="str">
        <x:v>WG-F035</x:v>
      </x:c>
      <x:c r="C10" s="22" t="str">
        <x:v>Pickup</x:v>
      </x:c>
      <x:c r="D10" s="22" t="str">
        <x:v>Customer</x:v>
      </x:c>
      <x:c r="E10" s="22" t="str">
        <x:v>Prevent duplicate active pickup</x:v>
      </x:c>
      <x:c r="F10" s="22" t="str">
        <x:v>Customer already has PENDING/ACCEPTED/ARRIVED/VERIFIED pickup</x:v>
      </x:c>
      <x:c r="G10" s="22" t="str">
        <x:v>Try to submit another pickup</x:v>
      </x:c>
      <x:c r="H10" s="22" t="str">
        <x:v>Backend rejects with clear message</x:v>
      </x:c>
      <x:c r="I10" s="22" t="str"/>
      <x:c r="J10" s="22" t="str">
        <x:v>Not Run</x:v>
      </x:c>
      <x:c r="K10" s="22" t="str"/>
      <x:c r="L10" s="22" t="str"/>
    </x:row>
    <x:row r="11">
      <x:c r="A11" s="22" t="str">
        <x:v>TC-010</x:v>
      </x:c>
      <x:c r="B11" s="22" t="str">
        <x:v>WG-F038</x:v>
      </x:c>
      <x:c r="C11" s="22" t="str">
        <x:v>Pickup</x:v>
      </x:c>
      <x:c r="D11" s="22" t="str">
        <x:v>Customer</x:v>
      </x:c>
      <x:c r="E11" s="22" t="str">
        <x:v>Cancel pickup</x:v>
      </x:c>
      <x:c r="F11" s="22" t="str">
        <x:v>Customer has cancellable pickup</x:v>
      </x:c>
      <x:c r="G11" s="22" t="str">
        <x:v>Open detail; click cancel; confirm</x:v>
      </x:c>
      <x:c r="H11" s="22" t="str">
        <x:v>Status becomes CANCELLED</x:v>
      </x:c>
      <x:c r="I11" s="22" t="str"/>
      <x:c r="J11" s="22" t="str">
        <x:v>Not Run</x:v>
      </x:c>
      <x:c r="K11" s="22" t="str"/>
      <x:c r="L11" s="22" t="str"/>
    </x:row>
    <x:row r="12">
      <x:c r="A12" s="22" t="str">
        <x:v>TC-011</x:v>
      </x:c>
      <x:c r="B12" s="22" t="str">
        <x:v>WG-F043</x:v>
      </x:c>
      <x:c r="C12" s="22" t="str">
        <x:v>Admin Pickups</x:v>
      </x:c>
      <x:c r="D12" s="22" t="str">
        <x:v>Admin</x:v>
      </x:c>
      <x:c r="E12" s="22" t="str">
        <x:v>Admin list pickup requests</x:v>
      </x:c>
      <x:c r="F12" s="22" t="str">
        <x:v>Logged in as ADMIN; pickups exist</x:v>
      </x:c>
      <x:c r="G12" s="22" t="str">
        <x:v>Open Manage Pickups</x:v>
      </x:c>
      <x:c r="H12" s="22" t="str">
        <x:v>Customer/collector/items/images visible</x:v>
      </x:c>
      <x:c r="I12" s="22" t="str"/>
      <x:c r="J12" s="22" t="str">
        <x:v>Not Run</x:v>
      </x:c>
      <x:c r="K12" s="22" t="str"/>
      <x:c r="L12" s="22" t="str"/>
    </x:row>
    <x:row r="13">
      <x:c r="A13" s="22" t="str">
        <x:v>TC-012</x:v>
      </x:c>
      <x:c r="B13" s="22" t="str">
        <x:v>WG-F041</x:v>
      </x:c>
      <x:c r="C13" s="22" t="str">
        <x:v>Pickup Lifecycle</x:v>
      </x:c>
      <x:c r="D13" s="22" t="str">
        <x:v>Collector</x:v>
      </x:c>
      <x:c r="E13" s="22" t="str">
        <x:v>Verify actual pickup values</x:v>
      </x:c>
      <x:c r="F13" s="22" t="str">
        <x:v>Pickup status ARRIVED</x:v>
      </x:c>
      <x:c r="G13" s="22" t="str">
        <x:v>Collector enters actual weight/category and submits verification</x:v>
      </x:c>
      <x:c r="H13" s="22" t="str">
        <x:v>Pickup moves to VERIFIED and actual values persist</x:v>
      </x:c>
      <x:c r="I13" s="22"/>
      <x:c r="J13" s="22" t="str">
        <x:v>Not Run</x:v>
      </x:c>
      <x:c r="K13" s="22"/>
      <x:c r="L13" s="22" t="str">
        <x:v>Collector-side lifecycle only</x:v>
      </x:c>
    </x:row>
    <x:row r="14">
      <x:c r="A14" s="22" t="str">
        <x:v>TC-013</x:v>
      </x:c>
      <x:c r="B14" s="22" t="str">
        <x:v>WG-F050</x:v>
      </x:c>
      <x:c r="C14" s="22" t="str">
        <x:v>Rewards</x:v>
      </x:c>
      <x:c r="D14" s="22" t="str">
        <x:v>Customer</x:v>
      </x:c>
      <x:c r="E14" s="22" t="str">
        <x:v>Redeem voucher with enough points</x:v>
      </x:c>
      <x:c r="F14" s="22" t="str">
        <x:v>Active voucher; customer has enough points</x:v>
      </x:c>
      <x:c r="G14" s="22" t="str">
        <x:v>Redeem voucher</x:v>
      </x:c>
      <x:c r="H14" s="22" t="str">
        <x:v>Redemption created, stock decremented, point ledger negative row created</x:v>
      </x:c>
      <x:c r="I14" s="22" t="str"/>
      <x:c r="J14" s="22" t="str">
        <x:v>Not Run</x:v>
      </x:c>
      <x:c r="K14" s="22" t="str"/>
      <x:c r="L14" s="22" t="str"/>
    </x:row>
    <x:row r="15">
      <x:c r="A15" s="22" t="str">
        <x:v>TC-014</x:v>
      </x:c>
      <x:c r="B15" s="22" t="str">
        <x:v>WG-F050</x:v>
      </x:c>
      <x:c r="C15" s="22" t="str">
        <x:v>Rewards</x:v>
      </x:c>
      <x:c r="D15" s="22" t="str">
        <x:v>Customer</x:v>
      </x:c>
      <x:c r="E15" s="22" t="str">
        <x:v>Block redemption without enough points</x:v>
      </x:c>
      <x:c r="F15" s="22" t="str">
        <x:v>Active voucher; low balance</x:v>
      </x:c>
      <x:c r="G15" s="22" t="str">
        <x:v>Try redeem voucher</x:v>
      </x:c>
      <x:c r="H15" s="22" t="str">
        <x:v>Backend rejects transaction without stock/ledger mutation</x:v>
      </x:c>
      <x:c r="I15" s="22" t="str"/>
      <x:c r="J15" s="22" t="str">
        <x:v>Not Run</x:v>
      </x:c>
      <x:c r="K15" s="22" t="str"/>
      <x:c r="L15" s="22" t="str"/>
    </x:row>
    <x:row r="16">
      <x:c r="A16" s="22" t="str">
        <x:v>TC-015</x:v>
      </x:c>
      <x:c r="B16" s="22" t="str">
        <x:v>WG-F055</x:v>
      </x:c>
      <x:c r="C16" s="22" t="str">
        <x:v>Notifications</x:v>
      </x:c>
      <x:c r="D16" s="22" t="str">
        <x:v>All</x:v>
      </x:c>
      <x:c r="E16" s="22" t="str">
        <x:v>List notifications</x:v>
      </x:c>
      <x:c r="F16" s="22" t="str">
        <x:v>User has notifications</x:v>
      </x:c>
      <x:c r="G16" s="22" t="str">
        <x:v>Open notification page or call endpoint</x:v>
      </x:c>
      <x:c r="H16" s="22" t="str">
        <x:v>Only user-relevant notifications returned</x:v>
      </x:c>
      <x:c r="I16" s="22" t="str"/>
      <x:c r="J16" s="22" t="str">
        <x:v>Not Run</x:v>
      </x:c>
      <x:c r="K16" s="22" t="str"/>
      <x:c r="L16" s="22" t="str"/>
    </x:row>
    <x:row r="17">
      <x:c r="A17" s="56" t="str">
        <x:v>TC-016</x:v>
      </x:c>
      <x:c r="B17" s="56" t="str">
        <x:v>WG-F061</x:v>
      </x:c>
      <x:c r="C17" s="56" t="str">
        <x:v>Onboarding</x:v>
      </x:c>
      <x:c r="D17" s="56" t="str">
        <x:v>Collector</x:v>
      </x:c>
      <x:c r="E17" s="56" t="str">
        <x:v>Ask browser location permission first</x:v>
      </x:c>
      <x:c r="F17" s="56" t="str">
        <x:v>Logged in as new COLLECTOR</x:v>
      </x:c>
      <x:c r="G17" s="56" t="str">
        <x:v>Open collector onboarding</x:v>
      </x:c>
      <x:c r="H17" s="56" t="str">
        <x:v>Browser location permission prompt/step appears before route-fit setup</x:v>
      </x:c>
      <x:c r="I17" s="56"/>
      <x:c r="J17" s="56" t="str">
        <x:v>Not Run</x:v>
      </x:c>
      <x:c r="K17" s="56"/>
      <x:c r="L17" s="56"/>
    </x:row>
    <x:row r="18">
      <x:c r="A18" s="56" t="str">
        <x:v>TC-017</x:v>
      </x:c>
      <x:c r="B18" s="56" t="str">
        <x:v>WG-F062</x:v>
      </x:c>
      <x:c r="C18" s="56" t="str">
        <x:v>Onboarding</x:v>
      </x:c>
      <x:c r="D18" s="56" t="str">
        <x:v>Admin</x:v>
      </x:c>
      <x:c r="E18" s="56" t="str">
        <x:v>Admin onboarding welcome flow</x:v>
      </x:c>
      <x:c r="F18" s="56" t="str">
        <x:v>Logged in as new ADMIN</x:v>
      </x:c>
      <x:c r="G18" s="56" t="str">
        <x:v>Open admin dashboard/onboarding path</x:v>
      </x:c>
      <x:c r="H18" s="56" t="str">
        <x:v>Admin welcome flow renders and can be completed</x:v>
      </x:c>
      <x:c r="I18" s="56"/>
      <x:c r="J18" s="56" t="str">
        <x:v>Not Run</x:v>
      </x:c>
      <x:c r="K18" s="56"/>
      <x:c r="L18" s="56"/>
    </x:row>
    <x:row r="19">
      <x:c r="A19" s="56" t="str">
        <x:v>TC-018</x:v>
      </x:c>
      <x:c r="B19" s="56" t="str">
        <x:v>WG-F063</x:v>
      </x:c>
      <x:c r="C19" s="56" t="str">
        <x:v>Pickup Detail</x:v>
      </x:c>
      <x:c r="D19" s="56" t="str">
        <x:v>All</x:v>
      </x:c>
      <x:c r="E19" s="56" t="str">
        <x:v>Shared pickup detail by role</x:v>
      </x:c>
      <x:c r="F19" s="56" t="str">
        <x:v>Pickup exists; login as customer/admin/collector separately</x:v>
      </x:c>
      <x:c r="G19" s="56" t="str">
        <x:v>Open each role slug/detail route</x:v>
      </x:c>
      <x:c r="H19" s="56" t="str">
        <x:v>Shared detail renders with correct role-specific actions</x:v>
      </x:c>
      <x:c r="I19" s="56"/>
      <x:c r="J19" s="56" t="str">
        <x:v>Not Run</x:v>
      </x:c>
      <x:c r="K19" s="56"/>
      <x:c r="L19" s="56"/>
    </x:row>
    <x:row r="20">
      <x:c r="A20" s="56" t="str">
        <x:v>TC-019</x:v>
      </x:c>
      <x:c r="B20" s="56" t="str">
        <x:v>WG-F064</x:v>
      </x:c>
      <x:c r="C20" s="56" t="str">
        <x:v>Pickup Detail</x:v>
      </x:c>
      <x:c r="D20" s="56" t="str">
        <x:v>All</x:v>
      </x:c>
      <x:c r="E20" s="56" t="str">
        <x:v>Pickup timeline status tracker</x:v>
      </x:c>
      <x:c r="F20" s="56" t="str">
        <x:v>Pickup exists in each status</x:v>
      </x:c>
      <x:c r="G20" s="56" t="str">
        <x:v>Open pickup detail</x:v>
      </x:c>
      <x:c r="H20" s="56" t="str">
        <x:v>Timeline highlights current status and history correctly</x:v>
      </x:c>
      <x:c r="I20" s="56"/>
      <x:c r="J20" s="56" t="str">
        <x:v>Not Run</x:v>
      </x:c>
      <x:c r="K20" s="56"/>
      <x:c r="L20" s="56"/>
    </x:row>
    <x:row r="21">
      <x:c r="A21" s="56" t="str">
        <x:v>TC-020</x:v>
      </x:c>
      <x:c r="B21" s="56" t="str">
        <x:v>WG-F065</x:v>
      </x:c>
      <x:c r="C21" s="56" t="str">
        <x:v>Pickup</x:v>
      </x:c>
      <x:c r="D21" s="56" t="str">
        <x:v>Customer</x:v>
      </x:c>
      <x:c r="E21" s="56" t="str">
        <x:v>Cancel hidden/blocked after arrived</x:v>
      </x:c>
      <x:c r="F21" s="56" t="str">
        <x:v>Pickup status ARRIVED</x:v>
      </x:c>
      <x:c r="G21" s="56" t="str">
        <x:v>Open customer pickup detail and try cancel endpoint/UI</x:v>
      </x:c>
      <x:c r="H21" s="56" t="str">
        <x:v>Cancel is hidden/disabled or backend rejects; status unchanged</x:v>
      </x:c>
      <x:c r="I21" s="56"/>
      <x:c r="J21" s="56" t="str">
        <x:v>Not Run</x:v>
      </x:c>
      <x:c r="K21" s="56"/>
      <x:c r="L21" s="56"/>
    </x:row>
    <x:row r="22">
      <x:c r="A22" s="56" t="str">
        <x:v>TC-021</x:v>
      </x:c>
      <x:c r="B22" s="56" t="str">
        <x:v>WG-F066</x:v>
      </x:c>
      <x:c r="C22" s="56" t="str">
        <x:v>Pickup Verification</x:v>
      </x:c>
      <x:c r="D22" s="56" t="str">
        <x:v>Customer/Collector</x:v>
      </x:c>
      <x:c r="E22" s="56" t="str">
        <x:v>Show estimate source vs verified values</x:v>
      </x:c>
      <x:c r="F22" s="56" t="str">
        <x:v>Pickup has AI/customer estimate and collector verified values</x:v>
      </x:c>
      <x:c r="G22" s="56" t="str">
        <x:v>Open pickup detail after verification</x:v>
      </x:c>
      <x:c r="H22" s="56" t="str">
        <x:v>Customer/AI estimate and collector verified values are visible and distinct</x:v>
      </x:c>
      <x:c r="I22" s="56"/>
      <x:c r="J22" s="56" t="str">
        <x:v>Not Run</x:v>
      </x:c>
      <x:c r="K22" s="56"/>
      <x:c r="L22" s="56"/>
    </x:row>
    <x:row r="23">
      <x:c r="A23" s="56" t="str">
        <x:v>TC-022</x:v>
      </x:c>
      <x:c r="B23" s="56" t="str">
        <x:v>WG-F069</x:v>
      </x:c>
      <x:c r="C23" s="56" t="str">
        <x:v>Collector Routing</x:v>
      </x:c>
      <x:c r="D23" s="56" t="str">
        <x:v>Collector</x:v>
      </x:c>
      <x:c r="E23" s="56" t="str">
        <x:v>Accept multiple pickups</x:v>
      </x:c>
      <x:c r="F23" s="56" t="str">
        <x:v>Collector has one accepted pickup; another pending pickup exists</x:v>
      </x:c>
      <x:c r="G23" s="56" t="str">
        <x:v>Accept second pickup</x:v>
      </x:c>
      <x:c r="H23" s="56" t="str">
        <x:v>Both pickups appear under My Pickups and route map includes both stops</x:v>
      </x:c>
      <x:c r="I23" s="56"/>
      <x:c r="J23" s="56" t="str">
        <x:v>Not Run</x:v>
      </x:c>
      <x:c r="K23" s="56"/>
      <x:c r="L23" s="56"/>
    </x:row>
    <x:row r="24">
      <x:c r="A24" s="56" t="str">
        <x:v>TC-023</x:v>
      </x:c>
      <x:c r="B24" s="56" t="str">
        <x:v>WG-F073</x:v>
      </x:c>
      <x:c r="C24" s="56" t="str">
        <x:v>Collector Routing</x:v>
      </x:c>
      <x:c r="D24" s="56" t="str">
        <x:v>Collector</x:v>
      </x:c>
      <x:c r="E24" s="56" t="str">
        <x:v>Available pickups reorder after active stops</x:v>
      </x:c>
      <x:c r="F24" s="56" t="str">
        <x:v>Collector has active stops and several available pickups</x:v>
      </x:c>
      <x:c r="G24" s="56" t="str">
        <x:v>Open available pickups after accepting a stop</x:v>
      </x:c>
      <x:c r="H24" s="56" t="str">
        <x:v>Available pickup order recalculates based on current route</x:v>
      </x:c>
      <x:c r="I24" s="56"/>
      <x:c r="J24" s="56" t="str">
        <x:v>Not Run</x:v>
      </x:c>
      <x:c r="K24" s="56"/>
      <x:c r="L24" s="56"/>
    </x:row>
    <x:row r="25">
      <x:c r="A25" s="56" t="str">
        <x:v>TC-024</x:v>
      </x:c>
      <x:c r="B25" s="56" t="str">
        <x:v>WG-F071</x:v>
      </x:c>
      <x:c r="C25" s="56" t="str">
        <x:v>Collector Routing</x:v>
      </x:c>
      <x:c r="D25" s="56" t="str">
        <x:v>Collector</x:v>
      </x:c>
      <x:c r="E25" s="56" t="str">
        <x:v>Accept dialog previews route before confirm</x:v>
      </x:c>
      <x:c r="F25" s="56" t="str">
        <x:v>Collector has current stops; pending pickup available</x:v>
      </x:c>
      <x:c r="G25" s="56" t="str">
        <x:v>Click accept but do not confirm</x:v>
      </x:c>
      <x:c r="H25" s="56" t="str">
        <x:v>Dialog shows current stops plus new pickup route preview</x:v>
      </x:c>
      <x:c r="I25" s="56"/>
      <x:c r="J25" s="56" t="str">
        <x:v>Not Run</x:v>
      </x:c>
      <x:c r="K25" s="56"/>
      <x:c r="L25" s="56"/>
    </x:row>
    <x:row r="26">
      <x:c r="A26" s="56" t="str">
        <x:v>TC-025</x:v>
      </x:c>
      <x:c r="B26" s="56" t="str">
        <x:v>WG-F039</x:v>
      </x:c>
      <x:c r="C26" s="56" t="str">
        <x:v>Pickup Lifecycle</x:v>
      </x:c>
      <x:c r="D26" s="56" t="str">
        <x:v>Collector</x:v>
      </x:c>
      <x:c r="E26" s="56" t="str">
        <x:v>Accept pickup action</x:v>
      </x:c>
      <x:c r="F26" s="56" t="str">
        <x:v>Pickup status PENDING</x:v>
      </x:c>
      <x:c r="G26" s="56" t="str">
        <x:v>Collector accepts pickup</x:v>
      </x:c>
      <x:c r="H26" s="56" t="str">
        <x:v>Status changes to ACCEPTED and pickup moves to My Pickups</x:v>
      </x:c>
      <x:c r="I26" s="56"/>
      <x:c r="J26" s="56" t="str">
        <x:v>Not Run</x:v>
      </x:c>
      <x:c r="K26" s="56"/>
      <x:c r="L26" s="56"/>
    </x:row>
    <x:row r="27">
      <x:c r="A27" s="56" t="str">
        <x:v>TC-026</x:v>
      </x:c>
      <x:c r="B27" s="56" t="str">
        <x:v>WG-F040</x:v>
      </x:c>
      <x:c r="C27" s="56" t="str">
        <x:v>Pickup Lifecycle</x:v>
      </x:c>
      <x:c r="D27" s="56" t="str">
        <x:v>Collector</x:v>
      </x:c>
      <x:c r="E27" s="56" t="str">
        <x:v>Arrived pickup action</x:v>
      </x:c>
      <x:c r="F27" s="56" t="str">
        <x:v>Pickup status ACCEPTED</x:v>
      </x:c>
      <x:c r="G27" s="56" t="str">
        <x:v>Collector marks arrived</x:v>
      </x:c>
      <x:c r="H27" s="56" t="str">
        <x:v>Status changes to ARRIVED and customer can no longer cancel</x:v>
      </x:c>
      <x:c r="I27" s="56"/>
      <x:c r="J27" s="56" t="str">
        <x:v>Not Run</x:v>
      </x:c>
      <x:c r="K27" s="56"/>
      <x:c r="L27" s="56"/>
    </x:row>
    <x:row r="28">
      <x:c r="A28" s="56" t="str">
        <x:v>TC-027</x:v>
      </x:c>
      <x:c r="B28" s="56" t="str">
        <x:v>WG-F042</x:v>
      </x:c>
      <x:c r="C28" s="56" t="str">
        <x:v>Pickup Lifecycle</x:v>
      </x:c>
      <x:c r="D28" s="56" t="str">
        <x:v>Collector</x:v>
      </x:c>
      <x:c r="E28" s="56" t="str">
        <x:v>Complete pickup action</x:v>
      </x:c>
      <x:c r="F28" s="56" t="str">
        <x:v>Pickup status VERIFIED</x:v>
      </x:c>
      <x:c r="G28" s="56" t="str">
        <x:v>Collector completes pickup</x:v>
      </x:c>
      <x:c r="H28" s="56" t="str">
        <x:v>Status changes to COMPLETED and rewards/ledger behavior is correct</x:v>
      </x:c>
      <x:c r="I28" s="56"/>
      <x:c r="J28" s="56" t="str">
        <x:v>Not Run</x:v>
      </x:c>
      <x:c r="K28" s="56"/>
      <x:c r="L28" s="56"/>
    </x:row>
    <x:row r="29">
      <x:c r="A29" s="56" t="str">
        <x:v>TC-028</x:v>
      </x:c>
      <x:c r="B29" s="56" t="str">
        <x:v>WG-F074</x:v>
      </x:c>
      <x:c r="C29" s="56" t="str">
        <x:v>Pickup Detail</x:v>
      </x:c>
      <x:c r="D29" s="56" t="str">
        <x:v>Admin/Collector</x:v>
      </x:c>
      <x:c r="E29" s="56" t="str">
        <x:v>Admin and collector slug pages render</x:v>
      </x:c>
      <x:c r="F29" s="56" t="str">
        <x:v>Pickup exists; admin and collector accounts exist</x:v>
      </x:c>
      <x:c r="G29" s="56" t="str">
        <x:v>Open admin and collector pickup slug pages</x:v>
      </x:c>
      <x:c r="H29" s="56" t="str">
        <x:v>Both pages render without guard/resolver errors</x:v>
      </x:c>
      <x:c r="I29" s="56"/>
      <x:c r="J29" s="56" t="str">
        <x:v>Not Run</x:v>
      </x:c>
      <x:c r="K29" s="56"/>
      <x:c r="L29" s="56"/>
    </x:row>
    <x:row r="30">
      <x:c r="A30" s="56" t="str">
        <x:v>TC-029</x:v>
      </x:c>
      <x:c r="B30" s="56" t="str">
        <x:v>WG-F072</x:v>
      </x:c>
      <x:c r="C30" s="56" t="str">
        <x:v>Maps</x:v>
      </x:c>
      <x:c r="D30" s="56" t="str">
        <x:v>Collector</x:v>
      </x:c>
      <x:c r="E30" s="56" t="str">
        <x:v>Route map renders stops without marker drift</x:v>
      </x:c>
      <x:c r="F30" s="56" t="str">
        <x:v>Collector has multiple accepted pickups</x:v>
      </x:c>
      <x:c r="G30" s="56" t="str">
        <x:v>Open My Pickups route map</x:v>
      </x:c>
      <x:c r="H30" s="56" t="str">
        <x:v>MapLibre/OSRM route and stop markers align with actual stop coordinates</x:v>
      </x:c>
      <x:c r="I30" s="56"/>
      <x:c r="J30" s="56" t="str">
        <x:v>Not Run</x:v>
      </x:c>
      <x:c r="K30" s="56"/>
      <x:c r="L30" s="56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  <x:c r="L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  <x:c r="L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  <x:c r="L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  <x:c r="L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  <x:c r="L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  <x:c r="L60" s="22"/>
    </x:row>
    <x:row r="6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22"/>
      <x:c r="L61" s="22"/>
    </x:row>
    <x:row r="62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22"/>
      <x:c r="L62" s="22"/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22"/>
      <x:c r="L63" s="22"/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22"/>
      <x:c r="L65" s="22"/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22"/>
      <x:c r="L66" s="22"/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22"/>
      <x:c r="L67" s="22"/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22"/>
      <x:c r="L68" s="22"/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22"/>
      <x:c r="L69" s="22"/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22"/>
      <x:c r="L70" s="22"/>
    </x:row>
    <x:row r="7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22"/>
      <x:c r="L71" s="22"/>
    </x:row>
    <x:row r="72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22"/>
      <x:c r="L72" s="22"/>
    </x:row>
    <x:row r="73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22"/>
      <x:c r="L73" s="22"/>
    </x:row>
    <x:row r="74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22"/>
      <x:c r="L74" s="22"/>
    </x:row>
    <x:row r="75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22"/>
      <x:c r="L75" s="22"/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22"/>
      <x:c r="L76" s="22"/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22"/>
      <x:c r="L77" s="22"/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22"/>
      <x:c r="L78" s="22"/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22"/>
      <x:c r="L79" s="22"/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22"/>
      <x:c r="L80" s="22"/>
    </x:row>
    <x:row r="8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  <x:c r="K81" s="22"/>
      <x:c r="L81" s="22"/>
    </x:row>
    <x:row r="82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  <x:c r="K82" s="22"/>
      <x:c r="L82" s="22"/>
    </x:row>
    <x:row r="83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  <x:c r="K83" s="22"/>
      <x:c r="L83" s="22"/>
    </x:row>
    <x:row r="84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  <x:c r="K84" s="22"/>
      <x:c r="L84" s="22"/>
    </x:row>
    <x:row r="85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  <x:c r="K85" s="22"/>
      <x:c r="L85" s="22"/>
    </x:row>
    <x:row r="86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  <x:c r="K86" s="22"/>
      <x:c r="L86" s="22"/>
    </x:row>
    <x:row r="87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  <x:c r="K87" s="22"/>
      <x:c r="L87" s="22"/>
    </x:row>
    <x:row r="88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  <x:c r="K88" s="22"/>
      <x:c r="L88" s="22"/>
    </x:row>
    <x:row r="89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  <x:c r="K89" s="22"/>
      <x:c r="L89" s="22"/>
    </x:row>
    <x:row r="90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  <x:c r="K90" s="22"/>
      <x:c r="L90" s="22"/>
    </x:row>
    <x:row r="9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  <x:c r="K91" s="22"/>
      <x:c r="L91" s="22"/>
    </x:row>
    <x:row r="92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  <x:c r="K92" s="22"/>
      <x:c r="L92" s="22"/>
    </x:row>
    <x:row r="93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  <x:c r="K93" s="22"/>
      <x:c r="L93" s="22"/>
    </x:row>
    <x:row r="94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  <x:c r="K94" s="22"/>
      <x:c r="L94" s="22"/>
    </x:row>
    <x:row r="95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  <x:c r="K95" s="22"/>
      <x:c r="L95" s="22"/>
    </x:row>
    <x:row r="96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  <x:c r="K96" s="22"/>
      <x:c r="L96" s="22"/>
    </x:row>
    <x:row r="97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  <x:c r="K97" s="22"/>
      <x:c r="L97" s="22"/>
    </x:row>
    <x:row r="98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  <x:c r="K98" s="22"/>
      <x:c r="L98" s="22"/>
    </x:row>
    <x:row r="99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  <x:c r="K99" s="22"/>
      <x:c r="L99" s="22"/>
    </x:row>
    <x:row r="100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  <x:c r="K100" s="22"/>
      <x:c r="L100" s="22"/>
    </x:row>
    <x:row r="10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</x:row>
    <x:row r="102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  <x:c r="K102" s="22"/>
      <x:c r="L102" s="22"/>
    </x:row>
    <x:row r="103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  <x:c r="K103" s="22"/>
      <x:c r="L103" s="22"/>
    </x:row>
    <x:row r="104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  <x:c r="K104" s="22"/>
      <x:c r="L104" s="22"/>
    </x:row>
    <x:row r="105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  <x:c r="K105" s="22"/>
      <x:c r="L105" s="22"/>
    </x:row>
    <x:row r="106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  <x:c r="K106" s="22"/>
      <x:c r="L106" s="22"/>
    </x:row>
    <x:row r="107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  <x:c r="K107" s="22"/>
      <x:c r="L107" s="22"/>
    </x:row>
    <x:row r="108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  <x:c r="K108" s="22"/>
      <x:c r="L108" s="22"/>
    </x:row>
    <x:row r="109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  <x:c r="K109" s="22"/>
      <x:c r="L109" s="22"/>
    </x:row>
    <x:row r="110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  <x:c r="K110" s="22"/>
      <x:c r="L110" s="22"/>
    </x:row>
    <x:row r="11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  <x:c r="K111" s="22"/>
      <x:c r="L111" s="22"/>
    </x:row>
    <x:row r="112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  <x:c r="K112" s="22"/>
      <x:c r="L112" s="22"/>
    </x:row>
    <x:row r="113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  <x:c r="K113" s="22"/>
      <x:c r="L113" s="22"/>
    </x:row>
    <x:row r="114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  <x:c r="K114" s="22"/>
      <x:c r="L114" s="22"/>
    </x:row>
    <x:row r="115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  <x:c r="K115" s="22"/>
      <x:c r="L115" s="22"/>
    </x:row>
    <x:row r="116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  <x:c r="K116" s="22"/>
      <x:c r="L116" s="22"/>
    </x:row>
    <x:row r="117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  <x:c r="K117" s="22"/>
      <x:c r="L117" s="22"/>
    </x:row>
    <x:row r="118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  <x:c r="K118" s="22"/>
      <x:c r="L118" s="22"/>
    </x:row>
    <x:row r="119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  <x:c r="K119" s="22"/>
      <x:c r="L119" s="22"/>
    </x:row>
    <x:row r="120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22"/>
      <x:c r="L120" s="22"/>
    </x:row>
    <x:row r="12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  <x:c r="K121" s="22"/>
      <x:c r="L121" s="22"/>
    </x:row>
    <x:row r="122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  <x:c r="K122" s="22"/>
      <x:c r="L122" s="22"/>
    </x:row>
    <x:row r="123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  <x:c r="K123" s="22"/>
      <x:c r="L123" s="22"/>
    </x:row>
    <x:row r="124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  <x:c r="K124" s="22"/>
      <x:c r="L124" s="22"/>
    </x:row>
    <x:row r="125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  <x:c r="K125" s="22"/>
      <x:c r="L125" s="22"/>
    </x:row>
    <x:row r="126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  <x:c r="K126" s="22"/>
      <x:c r="L126" s="22"/>
    </x:row>
    <x:row r="127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  <x:c r="K127" s="22"/>
      <x:c r="L127" s="22"/>
    </x:row>
    <x:row r="128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  <x:c r="K128" s="22"/>
      <x:c r="L128" s="22"/>
    </x:row>
    <x:row r="129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  <x:c r="K129" s="22"/>
      <x:c r="L129" s="22"/>
    </x:row>
    <x:row r="130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  <x:c r="K130" s="22"/>
      <x:c r="L130" s="22"/>
    </x:row>
    <x:row r="13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  <x:c r="K131" s="22"/>
      <x:c r="L131" s="22"/>
    </x:row>
    <x:row r="132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  <x:c r="K132" s="22"/>
      <x:c r="L132" s="22"/>
    </x:row>
    <x:row r="133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22"/>
      <x:c r="L133" s="22"/>
    </x:row>
    <x:row r="134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  <x:c r="K134" s="22"/>
      <x:c r="L134" s="22"/>
    </x:row>
    <x:row r="135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  <x:c r="K135" s="22"/>
      <x:c r="L135" s="22"/>
    </x:row>
    <x:row r="136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  <x:c r="K136" s="22"/>
      <x:c r="L136" s="22"/>
    </x:row>
    <x:row r="137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  <x:c r="K137" s="22"/>
      <x:c r="L137" s="22"/>
    </x:row>
    <x:row r="138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  <x:c r="K138" s="22"/>
      <x:c r="L138" s="22"/>
    </x:row>
    <x:row r="139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  <x:c r="K139" s="22"/>
      <x:c r="L139" s="22"/>
    </x:row>
    <x:row r="140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  <x:c r="K140" s="22"/>
      <x:c r="L140" s="22"/>
    </x:row>
    <x:row r="14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  <x:c r="K141" s="22"/>
      <x:c r="L141" s="22"/>
    </x:row>
    <x:row r="142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  <x:c r="K142" s="22"/>
      <x:c r="L142" s="22"/>
    </x:row>
    <x:row r="143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  <x:c r="K143" s="22"/>
      <x:c r="L143" s="22"/>
    </x:row>
    <x:row r="144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  <x:c r="K144" s="22"/>
      <x:c r="L144" s="22"/>
    </x:row>
    <x:row r="145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  <x:c r="K145" s="22"/>
      <x:c r="L145" s="22"/>
    </x:row>
    <x:row r="146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  <x:c r="K146" s="22"/>
      <x:c r="L146" s="22"/>
    </x:row>
    <x:row r="147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  <x:c r="K147" s="22"/>
      <x:c r="L147" s="22"/>
    </x:row>
    <x:row r="148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  <x:c r="K148" s="22"/>
      <x:c r="L148" s="22"/>
    </x:row>
    <x:row r="149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  <x:c r="K149" s="22"/>
      <x:c r="L149" s="22"/>
    </x:row>
    <x:row r="150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  <x:c r="K150" s="22"/>
      <x:c r="L150" s="22"/>
    </x:row>
    <x:row r="15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  <x:c r="K151" s="22"/>
      <x:c r="L151" s="22"/>
    </x:row>
    <x:row r="152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  <x:c r="K152" s="22"/>
      <x:c r="L152" s="22"/>
    </x:row>
    <x:row r="153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  <x:c r="K153" s="22"/>
      <x:c r="L153" s="22"/>
    </x:row>
    <x:row r="154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  <x:c r="K154" s="22"/>
      <x:c r="L154" s="22"/>
    </x:row>
    <x:row r="155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  <x:c r="K155" s="22"/>
      <x:c r="L155" s="22"/>
    </x:row>
    <x:row r="156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  <x:c r="K156" s="22"/>
      <x:c r="L156" s="22"/>
    </x:row>
    <x:row r="157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  <x:c r="K157" s="22"/>
      <x:c r="L157" s="22"/>
    </x:row>
    <x:row r="158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  <x:c r="K158" s="22"/>
      <x:c r="L158" s="22"/>
    </x:row>
    <x:row r="159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  <x:c r="K159" s="22"/>
      <x:c r="L159" s="22"/>
    </x:row>
    <x:row r="160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  <x:c r="K160" s="22"/>
      <x:c r="L160" s="22"/>
    </x:row>
    <x:row r="16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  <x:c r="K161" s="22"/>
      <x:c r="L161" s="22"/>
    </x:row>
    <x:row r="162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  <x:c r="K162" s="22"/>
      <x:c r="L162" s="22"/>
    </x:row>
    <x:row r="163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  <x:c r="K163" s="22"/>
      <x:c r="L163" s="22"/>
    </x:row>
    <x:row r="164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  <x:c r="K164" s="22"/>
      <x:c r="L164" s="22"/>
    </x:row>
    <x:row r="165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  <x:c r="K165" s="22"/>
      <x:c r="L165" s="22"/>
    </x:row>
    <x:row r="166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  <x:c r="K166" s="22"/>
      <x:c r="L166" s="22"/>
    </x:row>
    <x:row r="167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  <x:c r="K167" s="22"/>
      <x:c r="L167" s="22"/>
    </x:row>
    <x:row r="168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  <x:c r="K168" s="22"/>
      <x:c r="L168" s="22"/>
    </x:row>
    <x:row r="169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  <x:c r="K169" s="22"/>
      <x:c r="L169" s="22"/>
    </x:row>
    <x:row r="170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  <x:c r="K170" s="22"/>
      <x:c r="L170" s="22"/>
    </x:row>
    <x:row r="17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  <x:c r="K171" s="22"/>
      <x:c r="L171" s="22"/>
    </x:row>
    <x:row r="172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  <x:c r="K172" s="22"/>
      <x:c r="L172" s="22"/>
    </x:row>
    <x:row r="173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  <x:c r="K173" s="22"/>
      <x:c r="L173" s="22"/>
    </x:row>
    <x:row r="174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  <x:c r="K174" s="22"/>
      <x:c r="L174" s="22"/>
    </x:row>
    <x:row r="175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  <x:c r="K175" s="22"/>
      <x:c r="L175" s="22"/>
    </x:row>
    <x:row r="176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  <x:c r="K176" s="22"/>
      <x:c r="L176" s="22"/>
    </x:row>
    <x:row r="177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  <x:c r="K177" s="22"/>
      <x:c r="L177" s="22"/>
    </x:row>
    <x:row r="178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  <x:c r="K178" s="22"/>
      <x:c r="L178" s="22"/>
    </x:row>
    <x:row r="179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  <x:c r="K179" s="22"/>
      <x:c r="L179" s="22"/>
    </x:row>
    <x:row r="180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  <x:c r="K180" s="22"/>
      <x:c r="L180" s="22"/>
    </x:row>
    <x:row r="18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  <x:c r="K181" s="22"/>
      <x:c r="L181" s="22"/>
    </x:row>
    <x:row r="182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  <x:c r="K182" s="22"/>
      <x:c r="L182" s="22"/>
    </x:row>
    <x:row r="183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  <x:c r="K183" s="22"/>
      <x:c r="L183" s="22"/>
    </x:row>
    <x:row r="184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  <x:c r="K184" s="22"/>
      <x:c r="L184" s="22"/>
    </x:row>
    <x:row r="185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  <x:c r="K185" s="22"/>
      <x:c r="L185" s="22"/>
    </x:row>
    <x:row r="186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  <x:c r="K186" s="22"/>
      <x:c r="L186" s="22"/>
    </x:row>
    <x:row r="187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  <x:c r="K187" s="22"/>
      <x:c r="L187" s="22"/>
    </x:row>
    <x:row r="188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  <x:c r="K188" s="22"/>
      <x:c r="L188" s="22"/>
    </x:row>
    <x:row r="189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  <x:c r="K189" s="22"/>
      <x:c r="L189" s="22"/>
    </x:row>
    <x:row r="190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  <x:c r="K190" s="22"/>
      <x:c r="L190" s="22"/>
    </x:row>
    <x:row r="19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  <x:c r="K191" s="22"/>
      <x:c r="L191" s="22"/>
    </x:row>
    <x:row r="192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  <x:c r="K192" s="22"/>
      <x:c r="L192" s="22"/>
    </x:row>
    <x:row r="193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  <x:c r="K193" s="22"/>
      <x:c r="L193" s="22"/>
    </x:row>
    <x:row r="194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  <x:c r="K194" s="22"/>
      <x:c r="L194" s="22"/>
    </x:row>
    <x:row r="195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  <x:c r="K195" s="22"/>
      <x:c r="L195" s="22"/>
    </x:row>
    <x:row r="196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  <x:c r="K196" s="22"/>
      <x:c r="L196" s="22"/>
    </x:row>
    <x:row r="197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  <x:c r="K197" s="22"/>
      <x:c r="L197" s="22"/>
    </x:row>
    <x:row r="198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  <x:c r="K198" s="22"/>
      <x:c r="L198" s="22"/>
    </x:row>
    <x:row r="199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  <x:c r="K199" s="22"/>
      <x:c r="L199" s="22"/>
    </x:row>
    <x:row r="200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  <x:c r="K200" s="22"/>
      <x:c r="L200" s="22"/>
    </x:row>
  </x:sheetData>
  <x:conditionalFormatting sqref="J2:J200">
    <x:cfRule type="expression" dxfId="1" priority="1">
      <x:formula>OR(G2="Passed",J2="Passed")</x:formula>
    </x:cfRule>
    <x:cfRule type="expression" dxfId="9" priority="2">
      <x:formula>J2="Passed"</x:formula>
    </x:cfRule>
    <x:cfRule type="expression" dxfId="10" priority="3">
      <x:formula>J2="Failed"</x:formula>
    </x:cfRule>
    <x:cfRule type="expression" dxfId="11" priority="4">
      <x:formula>J2="Blocked"</x:formula>
    </x:cfRule>
  </x:conditionalFormatting>
  <x:dataValidations count="1">
    <x:dataValidation type="list" sqref="J2:J200">
      <x:formula1>"Not Run,Passed,Failed,Blocked"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78a3463196468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Status</x:v>
      </x:c>
      <x:c r="B1" s="4" t="str">
        <x:v>Check</x:v>
      </x:c>
      <x:c r="C1" s="4" t="str">
        <x:v>Priority</x:v>
      </x:c>
      <x:c r="D1" s="4" t="str">
        <x:v>Role</x:v>
      </x:c>
      <x:c r="E1" s="4" t="str">
        <x:v>Severity</x:v>
      </x:c>
      <x:c r="F1" s="4" t="str">
        <x:v>Bug Status</x:v>
      </x:c>
      <x:c r="G1" s="4" t="str">
        <x:v>Test Result</x:v>
      </x:c>
      <x:c r="H1" s="4" t="str">
        <x:v>Retest Result</x:v>
      </x:c>
    </x:row>
    <x:row r="2">
      <x:c r="A2" t="str">
        <x:v>Not Tested</x:v>
      </x:c>
      <x:c r="B2" t="str">
        <x:v>☐</x:v>
      </x:c>
      <x:c r="C2" t="str">
        <x:v>Critical</x:v>
      </x:c>
      <x:c r="D2" t="str">
        <x:v>All</x:v>
      </x:c>
      <x:c r="E2" t="str">
        <x:v>Critical</x:v>
      </x:c>
      <x:c r="F2" t="str">
        <x:v>Open</x:v>
      </x:c>
      <x:c r="G2" t="str">
        <x:v>Not Run</x:v>
      </x:c>
      <x:c r="H2" t="str">
        <x:v>Not Retested</x:v>
      </x:c>
    </x:row>
    <x:row r="3">
      <x:c r="A3" t="str">
        <x:v>In Progress</x:v>
      </x:c>
      <x:c r="B3" t="str">
        <x:v>☐</x:v>
      </x:c>
      <x:c r="C3" t="str">
        <x:v>High</x:v>
      </x:c>
      <x:c r="D3" t="str">
        <x:v>Customer</x:v>
      </x:c>
      <x:c r="E3" t="str">
        <x:v>High</x:v>
      </x:c>
      <x:c r="F3" t="str">
        <x:v>In Progress</x:v>
      </x:c>
      <x:c r="G3" t="str">
        <x:v>Passed</x:v>
      </x:c>
      <x:c r="H3" t="str">
        <x:v>Passed</x:v>
      </x:c>
    </x:row>
    <x:row r="4">
      <x:c r="A4" t="str">
        <x:v>Passed</x:v>
      </x:c>
      <x:c r="B4" t="str">
        <x:v>☑</x:v>
      </x:c>
      <x:c r="C4" t="str">
        <x:v>Medium</x:v>
      </x:c>
      <x:c r="D4" t="str">
        <x:v>Collector</x:v>
      </x:c>
      <x:c r="E4" t="str">
        <x:v>Medium</x:v>
      </x:c>
      <x:c r="F4" t="str">
        <x:v>Fixed</x:v>
      </x:c>
      <x:c r="G4" t="str">
        <x:v>Failed</x:v>
      </x:c>
      <x:c r="H4" t="str">
        <x:v>Failed</x:v>
      </x:c>
    </x:row>
    <x:row r="5">
      <x:c r="A5" t="str">
        <x:v>Failed</x:v>
      </x:c>
      <x:c r="B5" t="str">
        <x:v>☒</x:v>
      </x:c>
      <x:c r="C5" t="str">
        <x:v>Low</x:v>
      </x:c>
      <x:c r="D5" t="str">
        <x:v>Admin</x:v>
      </x:c>
      <x:c r="E5" t="str">
        <x:v>Low</x:v>
      </x:c>
      <x:c r="F5" t="str">
        <x:v>Closed</x:v>
      </x:c>
      <x:c r="G5" t="str">
        <x:v>Blocked</x:v>
      </x:c>
      <x:c r="H5" t="str">
        <x:v>Blocked</x:v>
      </x:c>
    </x:row>
    <x:row r="6">
      <x:c r="A6" t="str">
        <x:v>Blocked</x:v>
      </x:c>
      <x:c r="B6" t="str">
        <x:v>⚠</x:v>
      </x:c>
      <x:c r="C6" t="str"/>
      <x:c r="D6" t="str">
        <x:v>Developer</x:v>
      </x:c>
      <x:c r="E6" t="str"/>
      <x:c r="F6" t="str">
        <x:v>Won’t Fix</x:v>
      </x:c>
      <x:c r="G6" t="str"/>
      <x:c r="H6" t="str"/>
    </x:row>
    <x:row r="7">
      <x:c r="A7" t="str">
        <x:v>Needs Review</x:v>
      </x:c>
      <x:c r="B7" t="str">
        <x:v>?</x:v>
      </x:c>
      <x:c r="C7" t="str"/>
      <x:c r="D7" t="str">
        <x:v>Public/Customer</x:v>
      </x:c>
      <x:c r="E7" t="str"/>
      <x:c r="F7" t="str">
        <x:v>Duplicate</x:v>
      </x:c>
      <x:c r="G7" t="str"/>
      <x:c r="H7" t="str"/>
    </x:row>
  </x:sheetData>
  <x:pageMargins left="0.7" right="0.7" top="0.75" bottom="0.75" header="0.3" footer="0.3"/>
</x:worksheet>
</file>